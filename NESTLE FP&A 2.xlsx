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FINANCIAL ANALYSIS\"/>
    </mc:Choice>
  </mc:AlternateContent>
  <xr:revisionPtr revIDLastSave="0" documentId="13_ncr:1_{F8BAD0EE-244D-4DA1-973F-D1FF630C00B8}" xr6:coauthVersionLast="47" xr6:coauthVersionMax="47" xr10:uidLastSave="{00000000-0000-0000-0000-000000000000}"/>
  <bookViews>
    <workbookView xWindow="-120" yWindow="-120" windowWidth="20730" windowHeight="11040" tabRatio="658" firstSheet="3" activeTab="3" xr2:uid="{67C710D6-236B-404E-B038-6E2B2A410082}"/>
  </bookViews>
  <sheets>
    <sheet name="Append1" sheetId="13" state="hidden" r:id="rId1"/>
    <sheet name="Table034 (Page 26) (2)" sheetId="12" state="hidden" r:id="rId2"/>
    <sheet name="Table033 (Page 26) (2)" sheetId="11" state="hidden" r:id="rId3"/>
    <sheet name="Historical Variance Analysis" sheetId="8" r:id="rId4"/>
    <sheet name="Assumption and Drivers" sheetId="6" r:id="rId5"/>
    <sheet name="Table017" sheetId="14" state="hidden" r:id="rId6"/>
    <sheet name="2026 Rolling Forecast " sheetId="4" r:id="rId7"/>
    <sheet name="Scenario Analysis Dashboard" sheetId="5" r:id="rId8"/>
  </sheets>
  <definedNames>
    <definedName name="ExternalData_1" localSheetId="3" hidden="1">'Historical Variance Analysis'!$A$1:$C$23</definedName>
    <definedName name="ExternalData_1" localSheetId="5" hidden="1">Table017!$A$1:$B$21</definedName>
    <definedName name="ExternalData_2" localSheetId="2" hidden="1">'Table033 (Page 26) (2)'!$A$1:$D$14</definedName>
    <definedName name="ExternalData_3" localSheetId="1" hidden="1">'Table034 (Page 26) (2)'!$A$1:$C$7</definedName>
    <definedName name="ExternalData_4" localSheetId="0" hidden="1">Append1!$A$1:$B$21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12" i="8"/>
  <c r="H13" i="8"/>
  <c r="H14" i="8"/>
  <c r="H15" i="8"/>
  <c r="H17" i="8"/>
  <c r="H20" i="8"/>
  <c r="H2" i="8"/>
  <c r="F3" i="8"/>
  <c r="F4" i="8"/>
  <c r="F6" i="8"/>
  <c r="F13" i="8"/>
  <c r="F14" i="8"/>
  <c r="F15" i="8"/>
  <c r="F17" i="8"/>
  <c r="F20" i="8"/>
  <c r="F2" i="8"/>
  <c r="B17" i="6"/>
  <c r="B15" i="6"/>
  <c r="B14" i="6"/>
  <c r="B13" i="6"/>
  <c r="B12" i="6"/>
  <c r="C3" i="4" s="1"/>
  <c r="B3" i="5"/>
  <c r="B14" i="4"/>
  <c r="B13" i="4"/>
  <c r="B12" i="4"/>
  <c r="B8" i="4"/>
  <c r="B11" i="4"/>
  <c r="B10" i="4"/>
  <c r="B9" i="4"/>
  <c r="B7" i="4"/>
  <c r="B3" i="4"/>
  <c r="B6" i="4"/>
  <c r="B5" i="4"/>
  <c r="B4" i="4"/>
  <c r="B8" i="6"/>
  <c r="B16" i="6" a="1"/>
  <c r="B16" i="6" s="1"/>
  <c r="D8" i="4" s="1"/>
  <c r="C8" i="4" s="1"/>
  <c r="B5" i="8"/>
  <c r="E20" i="8"/>
  <c r="G20" i="8"/>
  <c r="E22" i="8"/>
  <c r="G22" i="8"/>
  <c r="C5" i="8"/>
  <c r="B11" i="8"/>
  <c r="C11" i="8"/>
  <c r="H11" i="8" s="1"/>
  <c r="B18" i="8"/>
  <c r="C18" i="8"/>
  <c r="D2" i="8"/>
  <c r="D18" i="8" s="1"/>
  <c r="D3" i="8"/>
  <c r="E3" i="8" s="1"/>
  <c r="D4" i="8"/>
  <c r="D7" i="8"/>
  <c r="D8" i="8"/>
  <c r="E8" i="8" s="1"/>
  <c r="F8" i="8" s="1"/>
  <c r="D10" i="8"/>
  <c r="D12" i="8"/>
  <c r="E12" i="8" s="1"/>
  <c r="F12" i="8" s="1"/>
  <c r="D13" i="8"/>
  <c r="E13" i="8" s="1"/>
  <c r="D14" i="8"/>
  <c r="B7" i="6" s="1"/>
  <c r="E6" i="8"/>
  <c r="E9" i="8"/>
  <c r="F9" i="8" s="1"/>
  <c r="E15" i="8"/>
  <c r="E16" i="8"/>
  <c r="F16" i="8" s="1"/>
  <c r="E17" i="8"/>
  <c r="E23" i="8"/>
  <c r="G2" i="8"/>
  <c r="G3" i="8"/>
  <c r="G4" i="8"/>
  <c r="G6" i="8"/>
  <c r="G7" i="8"/>
  <c r="H7" i="8" s="1"/>
  <c r="G8" i="8"/>
  <c r="H8" i="8" s="1"/>
  <c r="G9" i="8"/>
  <c r="H9" i="8" s="1"/>
  <c r="G10" i="8"/>
  <c r="H10" i="8" s="1"/>
  <c r="G12" i="8"/>
  <c r="G13" i="8"/>
  <c r="G14" i="8"/>
  <c r="G15" i="8"/>
  <c r="G16" i="8"/>
  <c r="H16" i="8" s="1"/>
  <c r="G17" i="8"/>
  <c r="G23" i="8"/>
  <c r="C5" i="4" l="1"/>
  <c r="D5" i="4" s="1"/>
  <c r="E3" i="5"/>
  <c r="D5" i="8"/>
  <c r="B4" i="6" s="1"/>
  <c r="E2" i="8"/>
  <c r="B3" i="6" s="1"/>
  <c r="D11" i="8"/>
  <c r="B5" i="6"/>
  <c r="E14" i="8"/>
  <c r="E4" i="8"/>
  <c r="B6" i="6"/>
  <c r="E7" i="8"/>
  <c r="F7" i="8" s="1"/>
  <c r="E10" i="8"/>
  <c r="F10" i="8" s="1"/>
  <c r="C6" i="4"/>
  <c r="D6" i="4" s="1"/>
  <c r="D3" i="4"/>
  <c r="E2" i="5" s="1"/>
  <c r="C4" i="4" l="1"/>
  <c r="D4" i="4" s="1"/>
  <c r="C12" i="4"/>
  <c r="C7" i="4"/>
  <c r="D12" i="4"/>
  <c r="D7" i="4" l="1"/>
  <c r="D13" i="4" s="1"/>
  <c r="C9" i="4"/>
  <c r="C13" i="4"/>
  <c r="C10" i="4" l="1" a="1"/>
  <c r="C10" i="4" s="1"/>
  <c r="D10" i="4" s="1"/>
  <c r="D9" i="4"/>
  <c r="C11" i="4" l="1"/>
  <c r="C14" i="4" l="1"/>
  <c r="D11" i="4"/>
  <c r="D14" i="4" l="1"/>
  <c r="E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D6C69-BA13-4C52-9458-885C91D6DC8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00E26F94-7669-483D-9895-0EDB8009D0B1}" keepAlive="1" name="Query - Table017 (Page 14)" description="Connection to the 'Table017 (Page 14)' query in the workbook." type="5" refreshedVersion="8" background="1" saveData="1">
    <dbPr connection="Provider=Microsoft.Mashup.OleDb.1;Data Source=$Workbook$;Location=&quot;Table017 (Page 14)&quot;;Extended Properties=&quot;&quot;" command="SELECT * FROM [Table017 (Page 14)]"/>
  </connection>
  <connection id="3" xr16:uid="{DCC5DCFE-ABBB-4A3B-B5BB-98005BCCEA1F}" keepAlive="1" name="Query - Table033 (Page 26)" description="Connection to the 'Table033 (Page 26)' query in the workbook." type="5" refreshedVersion="0" background="1">
    <dbPr connection="Provider=Microsoft.Mashup.OleDb.1;Data Source=$Workbook$;Location=&quot;Table033 (Page 26)&quot;;Extended Properties=&quot;&quot;" command="SELECT * FROM [Table033 (Page 26)]"/>
  </connection>
  <connection id="4" xr16:uid="{8C46FFF0-67E7-4596-8DE3-A8A4C5EC6710}" keepAlive="1" name="Query - Table033 (Page 26) (2)" description="Connection to the 'Table033 (Page 26) (2)' query in the workbook." type="5" refreshedVersion="8" background="1" saveData="1">
    <dbPr connection="Provider=Microsoft.Mashup.OleDb.1;Data Source=$Workbook$;Location=&quot;Table033 (Page 26) (2)&quot;;Extended Properties=&quot;&quot;" command="SELECT * FROM [Table033 (Page 26) (2)]"/>
  </connection>
  <connection id="5" xr16:uid="{EB4DADAA-29E9-4D67-8AE3-DE23F10B3006}" keepAlive="1" name="Query - Table034 (Page 26)" description="Connection to the 'Table034 (Page 26)' query in the workbook." type="5" refreshedVersion="8" background="1" saveData="1">
    <dbPr connection="Provider=Microsoft.Mashup.OleDb.1;Data Source=$Workbook$;Location=&quot;Table034 (Page 26)&quot;;Extended Properties=&quot;&quot;" command="SELECT * FROM [Table034 (Page 26)]"/>
  </connection>
  <connection id="6" xr16:uid="{6EDB48DE-7E42-46F2-B74F-FDBFEB2E5F47}" keepAlive="1" name="Query - Table034 (Page 26) (2)" description="Connection to the 'Table034 (Page 26) (2)' query in the workbook." type="5" refreshedVersion="8" background="1" saveData="1">
    <dbPr connection="Provider=Microsoft.Mashup.OleDb.1;Data Source=$Workbook$;Location=&quot;Table034 (Page 26) (2)&quot;;Extended Properties=&quot;&quot;" command="SELECT * FROM [Table034 (Page 26) (2)]"/>
  </connection>
  <connection id="7" xr16:uid="{EE5D672D-2A71-4829-B275-CED6615A9162}" keepAlive="1" name="Query - Table035 (Page 27)" description="Connection to the 'Table035 (Page 27)' query in the workbook." type="5" refreshedVersion="8" background="1" saveData="1">
    <dbPr connection="Provider=Microsoft.Mashup.OleDb.1;Data Source=$Workbook$;Location=&quot;Table035 (Page 27)&quot;;Extended Properties=&quot;&quot;" command="SELECT * FROM [Table035 (Page 2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<sst xmlns="http://schemas.openxmlformats.org/spreadsheetml/2006/main" count="201" uniqueCount="129">
  <si>
    <t>2025</t>
  </si>
  <si>
    <t>2024</t>
  </si>
  <si>
    <t>Revenue</t>
  </si>
  <si>
    <t>Cost of sales</t>
  </si>
  <si>
    <t>Gross profit</t>
  </si>
  <si>
    <t>Other income</t>
  </si>
  <si>
    <t>Marketing and distribution expenses</t>
  </si>
  <si>
    <t>Administrative expenses</t>
  </si>
  <si>
    <t>Impairment (loss) /write-back on financial assets</t>
  </si>
  <si>
    <t>Results from operating activities</t>
  </si>
  <si>
    <t>Finance income</t>
  </si>
  <si>
    <t>Finance costs</t>
  </si>
  <si>
    <t>Net finance costs</t>
  </si>
  <si>
    <t>Profit /(loss) before income tax</t>
  </si>
  <si>
    <t>Income tax (expense) /credit</t>
  </si>
  <si>
    <t>Profit /(loss) for the year</t>
  </si>
  <si>
    <t>Profit /(loss) for the year is attributable to:</t>
  </si>
  <si>
    <t>Owners of the Company</t>
  </si>
  <si>
    <t>Earnings /(loss) per share</t>
  </si>
  <si>
    <t>N</t>
  </si>
  <si>
    <t>Basic earnings /(loss) per share</t>
  </si>
  <si>
    <t>132.42</t>
  </si>
  <si>
    <t>Diluted earnings /(loss) per share</t>
  </si>
  <si>
    <t>Column1</t>
  </si>
  <si>
    <t>Column3</t>
  </si>
  <si>
    <t>(Write back)/ impairment of financial assets</t>
  </si>
  <si>
    <t>(Loss)/profit before income tax</t>
  </si>
  <si>
    <t>Income tax credit/ (expense)</t>
  </si>
  <si>
    <t>(Loss)/profit for the year</t>
  </si>
  <si>
    <t>Column2</t>
  </si>
  <si>
    <t>Total comprehensive (loss)/income for the year</t>
  </si>
  <si>
    <t>(79,473,781)</t>
  </si>
  <si>
    <t>(Loss)/profit for the year is attributable to:</t>
  </si>
  <si>
    <t>Owners of the company</t>
  </si>
  <si>
    <t>(Loss)/earnings per share</t>
  </si>
  <si>
    <t>Basic (loss)/earnings per share</t>
  </si>
  <si>
    <t>(100.26)</t>
  </si>
  <si>
    <t>Diluted (loss)/earnings per share</t>
  </si>
  <si>
    <t>2023</t>
  </si>
  <si>
    <t>Column4</t>
  </si>
  <si>
    <t>9</t>
  </si>
  <si>
    <t>11(c)</t>
  </si>
  <si>
    <t>11 (b)</t>
  </si>
  <si>
    <t>10</t>
  </si>
  <si>
    <t>13 (a)</t>
  </si>
  <si>
    <t>48,965,488</t>
  </si>
  <si>
    <t>61.77</t>
  </si>
  <si>
    <t>Other Income</t>
  </si>
  <si>
    <t>2024 Var (Naira)</t>
  </si>
  <si>
    <t>2024 Var (%)</t>
  </si>
  <si>
    <t>2025 Var (Naira)</t>
  </si>
  <si>
    <t>2025 Var (%)</t>
  </si>
  <si>
    <t>Gross profit Margin</t>
  </si>
  <si>
    <t>Operating Profit Margin</t>
  </si>
  <si>
    <t>Net Profit Margin</t>
  </si>
  <si>
    <t>Line Item (Figures in ₦ Billions)</t>
  </si>
  <si>
    <t>Financial Drivers</t>
  </si>
  <si>
    <t>3 Year Baseline</t>
  </si>
  <si>
    <t>Base Case</t>
  </si>
  <si>
    <t>Optimistic Case</t>
  </si>
  <si>
    <t>Worst Case</t>
  </si>
  <si>
    <t>Line Item Driver</t>
  </si>
  <si>
    <t>Past Performance</t>
  </si>
  <si>
    <t>Most Likely</t>
  </si>
  <si>
    <t>Upside OutLook</t>
  </si>
  <si>
    <t>Downside Volatility</t>
  </si>
  <si>
    <t>Revenue Growth Rate</t>
  </si>
  <si>
    <t>Gross Margin %</t>
  </si>
  <si>
    <t>Marketing Expenses (% of Revenue)</t>
  </si>
  <si>
    <t>Administrative Expenses (% of Revenue)</t>
  </si>
  <si>
    <t>Net Finance Costs (Absolute ₦ Billions)</t>
  </si>
  <si>
    <t>Income Tax Rate (%)</t>
  </si>
  <si>
    <t>Select Active Scenario:</t>
  </si>
  <si>
    <t>Active Revenue Growth</t>
  </si>
  <si>
    <t>Active Gross Margin</t>
  </si>
  <si>
    <t>Active Marketing Exp</t>
  </si>
  <si>
    <t>Active Admin Exp</t>
  </si>
  <si>
    <t>Active Finance Costs</t>
  </si>
  <si>
    <t>Active Tax Rate</t>
  </si>
  <si>
    <t>Q1 2026 Actual</t>
  </si>
  <si>
    <t>Q2 - Q4 2026 Forecast</t>
  </si>
  <si>
    <t>Full Year 2026 Target</t>
  </si>
  <si>
    <t>Income Statement Projections</t>
  </si>
  <si>
    <t>3M Actual Anchor</t>
  </si>
  <si>
    <t>9F Projections</t>
  </si>
  <si>
    <t>Estimated FY2026</t>
  </si>
  <si>
    <t xml:space="preserve"> Line Item (Figures in ₦ Billions)</t>
  </si>
  <si>
    <t>Cost of Sales</t>
  </si>
  <si>
    <t>Gross Profit</t>
  </si>
  <si>
    <t>Operating Expenses</t>
  </si>
  <si>
    <t>Operating Profit</t>
  </si>
  <si>
    <t>Net Finance Cost</t>
  </si>
  <si>
    <t>Profit/(Loss) Before Tax</t>
  </si>
  <si>
    <t>Income Tax Expense</t>
  </si>
  <si>
    <t>Net Profit After Tax</t>
  </si>
  <si>
    <t>Profit for the period is attributable to:</t>
  </si>
  <si>
    <t>Earnings per share</t>
  </si>
  <si>
    <t>Basic earnings per share</t>
  </si>
  <si>
    <t>Diluted earnings</t>
  </si>
  <si>
    <t>Operating Expense</t>
  </si>
  <si>
    <t>Metric (in ₦ Billions)</t>
  </si>
  <si>
    <t>2023 Actual</t>
  </si>
  <si>
    <t>2024 Actual</t>
  </si>
  <si>
    <t>2025 Actual</t>
  </si>
  <si>
    <t>Total Revenue</t>
  </si>
  <si>
    <t>Net Finance Costs</t>
  </si>
  <si>
    <t>Note 2: PBT -175% variance reflects recovery from ₦221.6bn net loss in 2024 to ₦166.8bn net profit in 2025, a positive outcome despite the negative percentage displayed.</t>
  </si>
  <si>
    <t>Note 1: Impairment variance of -194% is distorted by a near-zero 2024 base, refer to absolute figures for context.</t>
  </si>
  <si>
    <t>Baseline distorted by tax credits in loss years 2023-2024. Forward rate based on 2025 effective rate of 37%."</t>
  </si>
  <si>
    <t>Gross Profit Margin%</t>
  </si>
  <si>
    <t>Operating Profit Margin %</t>
  </si>
  <si>
    <t>Net Profit Margin %</t>
  </si>
  <si>
    <t>2026 Base Case</t>
  </si>
  <si>
    <t>Driver</t>
  </si>
  <si>
    <t>Impact on Profitability</t>
  </si>
  <si>
    <t>Revenue Growth</t>
  </si>
  <si>
    <t>Positive</t>
  </si>
  <si>
    <t>Gross Margin Expansion</t>
  </si>
  <si>
    <t>Lower Finance Costs</t>
  </si>
  <si>
    <t>Strong Positive</t>
  </si>
  <si>
    <t>Tax Expense</t>
  </si>
  <si>
    <t>Negative</t>
  </si>
  <si>
    <t>₦249bn</t>
  </si>
  <si>
    <t>₦64bn</t>
  </si>
  <si>
    <t>₦331bn (largest driver)</t>
  </si>
  <si>
    <t>Partial offset</t>
  </si>
  <si>
    <t>Figures</t>
  </si>
  <si>
    <t>₦130bn</t>
  </si>
  <si>
    <t>Operating Profit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</si>
</sst>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,,;\(#,##0.0,,\);&quot;-&quot;"/>
    <numFmt numFmtId="165" formatCode="0.0%"/>
    <numFmt numFmtId="166" formatCode="_(* #,##0.0_);_(* \(#,##0.0\);_(* &quot;-&quot;??_);_(@_)"/>
    <numFmt numFmtId="169" formatCode="#,##0.00,,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49" fontId="0" fillId="0" borderId="0" xfId="0" applyNumberFormat="1"/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49" fontId="0" fillId="0" borderId="1" xfId="0" applyNumberFormat="1" applyBorder="1"/>
    <xf numFmtId="164" fontId="0" fillId="0" borderId="1" xfId="1" applyNumberFormat="1" applyFont="1" applyBorder="1" applyAlignment="1">
      <alignment horizontal="right"/>
    </xf>
    <xf numFmtId="9" fontId="0" fillId="0" borderId="1" xfId="2" applyFont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49" fontId="2" fillId="0" borderId="1" xfId="0" applyNumberFormat="1" applyFont="1" applyBorder="1"/>
    <xf numFmtId="9" fontId="2" fillId="0" borderId="1" xfId="2" applyFont="1" applyBorder="1" applyAlignment="1">
      <alignment horizontal="right"/>
    </xf>
    <xf numFmtId="0" fontId="0" fillId="2" borderId="1" xfId="0" applyFill="1" applyBorder="1"/>
    <xf numFmtId="164" fontId="0" fillId="2" borderId="1" xfId="2" applyNumberFormat="1" applyFont="1" applyFill="1" applyBorder="1" applyAlignment="1">
      <alignment horizontal="right"/>
    </xf>
    <xf numFmtId="43" fontId="0" fillId="2" borderId="1" xfId="1" applyFont="1" applyFill="1" applyBorder="1" applyAlignment="1">
      <alignment horizontal="right"/>
    </xf>
    <xf numFmtId="164" fontId="0" fillId="0" borderId="1" xfId="1" applyNumberFormat="1" applyFont="1" applyBorder="1"/>
    <xf numFmtId="49" fontId="2" fillId="3" borderId="1" xfId="0" applyNumberFormat="1" applyFont="1" applyFill="1" applyBorder="1"/>
    <xf numFmtId="9" fontId="2" fillId="3" borderId="1" xfId="2" applyFont="1" applyFill="1" applyBorder="1" applyAlignment="1">
      <alignment horizontal="right"/>
    </xf>
    <xf numFmtId="43" fontId="0" fillId="0" borderId="1" xfId="1" applyFont="1" applyBorder="1" applyAlignment="1">
      <alignment horizontal="right"/>
    </xf>
    <xf numFmtId="0" fontId="0" fillId="0" borderId="0" xfId="0" applyAlignment="1">
      <alignment horizontal="left" wrapText="1"/>
    </xf>
    <xf numFmtId="49" fontId="0" fillId="4" borderId="1" xfId="0" applyNumberFormat="1" applyFill="1" applyBorder="1"/>
    <xf numFmtId="43" fontId="0" fillId="4" borderId="1" xfId="1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3" borderId="5" xfId="0" applyFont="1" applyFill="1" applyBorder="1"/>
    <xf numFmtId="0" fontId="5" fillId="3" borderId="1" xfId="0" applyFont="1" applyFill="1" applyBorder="1"/>
    <xf numFmtId="0" fontId="5" fillId="3" borderId="6" xfId="0" applyFont="1" applyFill="1" applyBorder="1"/>
    <xf numFmtId="0" fontId="4" fillId="3" borderId="5" xfId="0" applyFont="1" applyFill="1" applyBorder="1"/>
    <xf numFmtId="0" fontId="4" fillId="3" borderId="7" xfId="0" applyFont="1" applyFill="1" applyBorder="1"/>
    <xf numFmtId="9" fontId="4" fillId="3" borderId="1" xfId="0" applyNumberFormat="1" applyFont="1" applyFill="1" applyBorder="1"/>
    <xf numFmtId="165" fontId="4" fillId="3" borderId="1" xfId="0" applyNumberFormat="1" applyFont="1" applyFill="1" applyBorder="1"/>
    <xf numFmtId="0" fontId="0" fillId="5" borderId="0" xfId="0" applyFill="1"/>
    <xf numFmtId="9" fontId="0" fillId="0" borderId="0" xfId="0" applyNumberFormat="1"/>
    <xf numFmtId="1" fontId="0" fillId="0" borderId="0" xfId="1" applyNumberFormat="1" applyFont="1"/>
    <xf numFmtId="166" fontId="4" fillId="3" borderId="1" xfId="1" applyNumberFormat="1" applyFont="1" applyFill="1" applyBorder="1"/>
    <xf numFmtId="2" fontId="0" fillId="0" borderId="0" xfId="0" applyNumberFormat="1"/>
    <xf numFmtId="164" fontId="0" fillId="3" borderId="9" xfId="1" applyNumberFormat="1" applyFont="1" applyFill="1" applyBorder="1" applyAlignment="1">
      <alignment horizontal="right"/>
    </xf>
    <xf numFmtId="164" fontId="0" fillId="3" borderId="8" xfId="1" applyNumberFormat="1" applyFont="1" applyFill="1" applyBorder="1" applyAlignment="1">
      <alignment horizontal="right"/>
    </xf>
    <xf numFmtId="0" fontId="0" fillId="0" borderId="7" xfId="0" applyBorder="1"/>
    <xf numFmtId="16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Border="1"/>
    <xf numFmtId="0" fontId="6" fillId="0" borderId="0" xfId="0" applyFont="1"/>
    <xf numFmtId="9" fontId="0" fillId="0" borderId="6" xfId="2" applyFont="1" applyBorder="1"/>
    <xf numFmtId="9" fontId="0" fillId="0" borderId="10" xfId="2" applyFont="1" applyBorder="1"/>
    <xf numFmtId="49" fontId="0" fillId="0" borderId="3" xfId="0" applyNumberFormat="1" applyBorder="1"/>
    <xf numFmtId="43" fontId="2" fillId="0" borderId="1" xfId="1" applyFont="1" applyBorder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5" fillId="3" borderId="1" xfId="0" applyNumberFormat="1" applyFont="1" applyFill="1" applyBorder="1"/>
    <xf numFmtId="2" fontId="5" fillId="3" borderId="6" xfId="0" applyNumberFormat="1" applyFont="1" applyFill="1" applyBorder="1"/>
    <xf numFmtId="0" fontId="0" fillId="0" borderId="5" xfId="0" applyBorder="1"/>
    <xf numFmtId="2" fontId="0" fillId="0" borderId="1" xfId="1" applyNumberFormat="1" applyFont="1" applyBorder="1"/>
    <xf numFmtId="2" fontId="1" fillId="0" borderId="6" xfId="1" applyNumberFormat="1" applyFont="1" applyBorder="1" applyAlignment="1">
      <alignment vertical="center"/>
    </xf>
    <xf numFmtId="9" fontId="0" fillId="0" borderId="1" xfId="2" applyFont="1" applyBorder="1"/>
    <xf numFmtId="9" fontId="0" fillId="0" borderId="8" xfId="2" applyFont="1" applyBorder="1"/>
    <xf numFmtId="49" fontId="0" fillId="3" borderId="1" xfId="0" applyNumberFormat="1" applyFill="1" applyBorder="1"/>
    <xf numFmtId="164" fontId="0" fillId="3" borderId="1" xfId="1" applyNumberFormat="1" applyFont="1" applyFill="1" applyBorder="1" applyAlignment="1">
      <alignment horizontal="right"/>
    </xf>
    <xf numFmtId="169" fontId="0" fillId="0" borderId="3" xfId="1" applyNumberFormat="1" applyFont="1" applyBorder="1" applyAlignment="1">
      <alignment horizontal="right"/>
    </xf>
    <xf numFmtId="169" fontId="0" fillId="0" borderId="1" xfId="1" applyNumberFormat="1" applyFont="1" applyBorder="1" applyAlignment="1">
      <alignment horizontal="right"/>
    </xf>
    <xf numFmtId="169" fontId="0" fillId="3" borderId="1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36">
    <dxf>
      <numFmt numFmtId="164" formatCode="#,##0.0,,;\(#,##0.0,,\);&quot;-&quot;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Nestlé Nigeria Financial Trajectory 2023—2026F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 Dashboard'!$A$2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Analysis Dashboard'!$B$1:$E$1</c:f>
              <c:strCache>
                <c:ptCount val="4"/>
                <c:pt idx="0">
                  <c:v>2023 Actual</c:v>
                </c:pt>
                <c:pt idx="1">
                  <c:v>2024 Actual</c:v>
                </c:pt>
                <c:pt idx="2">
                  <c:v>2025 Actual</c:v>
                </c:pt>
                <c:pt idx="3">
                  <c:v>2026 Base Case</c:v>
                </c:pt>
              </c:strCache>
            </c:strRef>
          </c:cat>
          <c:val>
            <c:numRef>
              <c:f>'Scenario Analysis Dashboard'!$B$2:$E$2</c:f>
              <c:numCache>
                <c:formatCode>#,##0.0,,;\(#,##0.0,,\);"-"</c:formatCode>
                <c:ptCount val="4"/>
                <c:pt idx="0">
                  <c:v>547118754</c:v>
                </c:pt>
                <c:pt idx="1">
                  <c:v>958814739</c:v>
                </c:pt>
                <c:pt idx="2">
                  <c:v>1207773081</c:v>
                </c:pt>
                <c:pt idx="3">
                  <c:v>1395005931.6849999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A-4853-85D7-35944202C0D0}"/>
            </c:ext>
          </c:extLst>
        </c:ser>
        <c:ser>
          <c:idx val="1"/>
          <c:order val="1"/>
          <c:tx>
            <c:strRef>
              <c:f>'Scenario Analysis Dashboard'!$A$3</c:f>
              <c:strCache>
                <c:ptCount val="1"/>
                <c:pt idx="0">
                  <c:v>Net Finance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Analysis Dashboard'!$B$1:$E$1</c:f>
              <c:strCache>
                <c:ptCount val="4"/>
                <c:pt idx="0">
                  <c:v>2023 Actual</c:v>
                </c:pt>
                <c:pt idx="1">
                  <c:v>2024 Actual</c:v>
                </c:pt>
                <c:pt idx="2">
                  <c:v>2025 Actual</c:v>
                </c:pt>
                <c:pt idx="3">
                  <c:v>2026 Base Case</c:v>
                </c:pt>
              </c:strCache>
            </c:strRef>
          </c:cat>
          <c:val>
            <c:numRef>
              <c:f>'Scenario Analysis Dashboard'!$B$3:$E$3</c:f>
              <c:numCache>
                <c:formatCode>#,##0.0,,;\(#,##0.0,,\);"-"</c:formatCode>
                <c:ptCount val="4"/>
                <c:pt idx="0">
                  <c:v>-227813025</c:v>
                </c:pt>
                <c:pt idx="1">
                  <c:v>-389464811</c:v>
                </c:pt>
                <c:pt idx="2">
                  <c:v>-58535900</c:v>
                </c:pt>
                <c:pt idx="3">
                  <c:v>-60000000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FA-4853-85D7-35944202C0D0}"/>
            </c:ext>
          </c:extLst>
        </c:ser>
        <c:ser>
          <c:idx val="2"/>
          <c:order val="2"/>
          <c:tx>
            <c:strRef>
              <c:f>'Scenario Analysis Dashboard'!$A$4</c:f>
              <c:strCache>
                <c:ptCount val="1"/>
                <c:pt idx="0">
                  <c:v>Net Profit After Tax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'Scenario Analysis Dashboard'!$B$1:$E$1</c:f>
              <c:strCache>
                <c:ptCount val="4"/>
                <c:pt idx="0">
                  <c:v>2023 Actual</c:v>
                </c:pt>
                <c:pt idx="1">
                  <c:v>2024 Actual</c:v>
                </c:pt>
                <c:pt idx="2">
                  <c:v>2025 Actual</c:v>
                </c:pt>
                <c:pt idx="3">
                  <c:v>2026 Base Case</c:v>
                </c:pt>
              </c:strCache>
            </c:strRef>
          </c:cat>
          <c:val>
            <c:numRef>
              <c:f>'Scenario Analysis Dashboard'!$B$4:$E$4</c:f>
              <c:numCache>
                <c:formatCode>#,##0.0,,;\(#,##0.0,,\);"-"</c:formatCode>
                <c:ptCount val="4"/>
                <c:pt idx="0">
                  <c:v>-79473781</c:v>
                </c:pt>
                <c:pt idx="1">
                  <c:v>-164595022</c:v>
                </c:pt>
                <c:pt idx="2">
                  <c:v>104966001</c:v>
                </c:pt>
                <c:pt idx="3">
                  <c:v>151963199.75061798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FA-4853-85D7-35944202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axId val="1597507568"/>
        <c:axId val="1597493648"/>
      </c:barChart>
      <c:catAx>
        <c:axId val="15975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93648"/>
        <c:crosses val="autoZero"/>
        <c:auto val="1"/>
        <c:lblAlgn val="ctr"/>
        <c:lblOffset val="100"/>
        <c:noMultiLvlLbl val="0"/>
      </c:catAx>
      <c:valAx>
        <c:axId val="1597493648"/>
        <c:scaling>
          <c:orientation val="minMax"/>
          <c:max val="18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,,;\(#,##0.0,,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50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116417</xdr:colOff>
      <xdr:row>5</xdr:row>
      <xdr:rowOff>14287</xdr:rowOff>
    </xdr:from>
    <xdr:to>
      <xdr:col>4</xdr:col>
      <xdr:colOff>1492250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7E5DB-1544-AC84-0158-623CF3ABC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E72E982-517C-457E-B02A-612E889A0385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3" name="Column3" tableColumnId="3"/>
    </queryTableFields>
    <queryTableDeletedFields count="2">
      <deletedField name="Column2"/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2593503-3E1C-428A-A358-CEFD69EB346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64DC277-5C1C-4646-AED0-2585B7D1FC4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5CB6E05-B2F3-492C-86F5-BD557FE4CEFE}" autoFormatId="16" applyNumberFormats="0" applyBorderFormats="0" applyFontFormats="0" applyPatternFormats="0" applyAlignmentFormats="0" applyWidthHeightFormats="0">
  <queryTableRefresh nextId="10" unboundColumnsRight="5">
    <queryTableFields count="8">
      <queryTableField id="1" name="Line Item" tableColumnId="1"/>
      <queryTableField id="2" name="2025" tableColumnId="2"/>
      <queryTableField id="3" name="2024" tableColumnId="3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A99350-EFBE-4EFB-A2FE-B8A6F99E194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4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CEF367-4976-400C-8814-3867D1CA5DB0}" name="Append1" displayName="Append1" ref="A1:B21" tableType="queryTable" totalsRowShown="0">
  <autoFilter ref="A1:B21" xr:uid="{10CEF367-4976-400C-8814-3867D1CA5DB0}"/>
  <tableColumns count="2">
    <tableColumn id="1" xr3:uid="{476D4678-31A5-4087-986F-D2D4DAF1AC65}" uniqueName="1" name="Column1" queryTableFieldId="1" dataDxfId="26"/>
    <tableColumn id="3" xr3:uid="{954099F2-C2F9-4C88-ACC5-C9FFCDF62509}" uniqueName="3" name="Column3" queryTableFieldId="3" dataDxfId="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FC2A5C-F4C7-46BC-BC7C-D3A9B8360056}" name="Table034__Page_26___2" displayName="Table034__Page_26___2" ref="A1:C7" tableType="queryTable" totalsRowShown="0">
  <autoFilter ref="A1:C7" xr:uid="{6EFC2A5C-F4C7-46BC-BC7C-D3A9B8360056}"/>
  <tableColumns count="3">
    <tableColumn id="1" xr3:uid="{A6905B08-5A6A-4DFC-812B-E5E892EC589D}" uniqueName="1" name="Column1" queryTableFieldId="1" dataDxfId="24"/>
    <tableColumn id="2" xr3:uid="{FE82C55C-29AF-4F86-8BBF-2FD38DC4CBE7}" uniqueName="2" name="Column2" queryTableFieldId="2" dataDxfId="23"/>
    <tableColumn id="3" xr3:uid="{E9B3FDEE-4850-4975-8556-395FDB0528E5}" uniqueName="3" name="Column3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BBECFB-0177-4521-BBD5-388DF63B5EA8}" name="Table033__Page_26___2" displayName="Table033__Page_26___2" ref="A1:D14" tableType="queryTable" totalsRowShown="0">
  <autoFilter ref="A1:D14" xr:uid="{A3BBECFB-0177-4521-BBD5-388DF63B5EA8}"/>
  <tableColumns count="4">
    <tableColumn id="1" xr3:uid="{5567DAFB-1464-471C-B6F8-805EDA193FD7}" uniqueName="1" name="Column1" queryTableFieldId="1" dataDxfId="21"/>
    <tableColumn id="2" xr3:uid="{504A158C-1560-4DA6-BD3A-7F1287D75465}" uniqueName="2" name="Column2" queryTableFieldId="2" dataDxfId="20"/>
    <tableColumn id="3" xr3:uid="{016AF339-04F2-415B-988E-21D03889EB35}" uniqueName="3" name="Column3" queryTableFieldId="3"/>
    <tableColumn id="4" xr3:uid="{D9FBDEC1-2980-4884-88C3-3A8116D166E1}" uniqueName="4" name="Column4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E18A8-43CE-46B9-A969-9360B22E269A}" name="Table035__Page_27" displayName="Table035__Page_27" ref="A1:H23" tableType="queryTable" totalsRowShown="0" headerRowDxfId="35">
  <autoFilter ref="A1:H23" xr:uid="{2B4E18A8-43CE-46B9-A969-9360B22E269A}"/>
  <tableColumns count="8">
    <tableColumn id="1" xr3:uid="{5A633A3A-9879-4A59-9450-8B20D7E12F52}" uniqueName="1" name="Line Item (Figures in ₦ Billions)" queryTableFieldId="1" dataDxfId="34"/>
    <tableColumn id="2" xr3:uid="{A0BB1B8C-F530-4419-A5B0-A671EFAECD2B}" uniqueName="2" name="2025" queryTableFieldId="2" dataDxfId="33" dataCellStyle="Comma"/>
    <tableColumn id="3" xr3:uid="{7A98FAFF-723E-4EEE-86A4-01880BD8AAB0}" uniqueName="3" name="2024" queryTableFieldId="3" dataDxfId="32" dataCellStyle="Comma"/>
    <tableColumn id="5" xr3:uid="{DC676C6C-1CF6-438F-B5D8-E8198B1C00B5}" uniqueName="5" name="2023" queryTableFieldId="5" dataDxfId="31" dataCellStyle="Comma">
      <calculatedColumnFormula>_xlfn.XLOOKUP(A2, Append1!A:A, Append1!B:B,0)</calculatedColumnFormula>
    </tableColumn>
    <tableColumn id="6" xr3:uid="{62918793-252C-4B26-AC12-CD42FAC785A5}" uniqueName="6" name="2024 Var (Naira)" queryTableFieldId="6" dataDxfId="30" dataCellStyle="Comma">
      <calculatedColumnFormula>C2-D2</calculatedColumnFormula>
    </tableColumn>
    <tableColumn id="7" xr3:uid="{F81F9E88-4C83-4392-B16B-AE68AA45D763}" uniqueName="7" name="2024 Var (%)" queryTableFieldId="7" dataDxfId="29" dataCellStyle="Comma">
      <calculatedColumnFormula>E2/ABS(D2)</calculatedColumnFormula>
    </tableColumn>
    <tableColumn id="8" xr3:uid="{207107C0-7CCB-4A28-9EB6-30986F17ACA5}" uniqueName="8" name="2025 Var (Naira)" queryTableFieldId="8" dataDxfId="28" dataCellStyle="Comma">
      <calculatedColumnFormula>B2-C2</calculatedColumnFormula>
    </tableColumn>
    <tableColumn id="9" xr3:uid="{3B99E304-10B8-4F8F-856F-084DA1A7B3E3}" uniqueName="9" name="2025 Var (%)" queryTableFieldId="9" dataDxfId="27" dataCellStyle="Comma">
      <calculatedColumnFormula>G2/ABS(C2)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608DA9-75E4-4C3B-9FC0-1AE0B0BF6657}" name="Table10" displayName="Table10" ref="A26:C31" totalsRowShown="0">
  <autoFilter ref="A26:C31" xr:uid="{18608DA9-75E4-4C3B-9FC0-1AE0B0BF6657}"/>
  <tableColumns count="3">
    <tableColumn id="1" xr3:uid="{4B1531B4-3C59-46CA-9251-F51811D158F7}" name="Driver"/>
    <tableColumn id="2" xr3:uid="{CE02933C-56F6-4C3B-830B-CF3EB5005623}" name="Impact on Profitability"/>
    <tableColumn id="3" xr3:uid="{CE404BC7-0F4D-4D40-9E93-BD923EBDAB72}" name="Figur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BAC8D7-4BCB-4F01-97EF-334EB5EB5163}" name="Table9" displayName="Table9" ref="A1:E9" totalsRowShown="0" headerRowDxfId="19" dataDxfId="17" headerRowBorderDxfId="18" tableBorderDxfId="16" totalsRowBorderDxfId="15">
  <autoFilter ref="A1:E9" xr:uid="{DCBAC8D7-4BCB-4F01-97EF-334EB5EB5163}"/>
  <tableColumns count="5">
    <tableColumn id="2" xr3:uid="{0ACFFA50-278B-4F5B-87C8-16EFB2048048}" name="Financial Drivers" dataDxfId="14"/>
    <tableColumn id="3" xr3:uid="{9D9A00B3-19F8-47B2-ACF6-4CD09957EB7B}" name="3 Year Baseline" dataDxfId="13"/>
    <tableColumn id="4" xr3:uid="{B063A4D5-E63B-4FDC-B031-1059D2BE4B79}" name="Base Case" dataDxfId="12"/>
    <tableColumn id="5" xr3:uid="{FA753C80-B678-492E-A865-8D3064D3912E}" name="Optimistic Case" dataDxfId="11"/>
    <tableColumn id="6" xr3:uid="{0FE53B0C-6332-48C5-A98A-FF2B9B0A61DE}" name="Worst Case" dataDxfId="1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F677F7-7F98-44C8-AB34-CDCFBD47B63C}" name="Table017__Page_14" displayName="Table017__Page_14" ref="A1:B21" tableType="queryTable" totalsRowShown="0">
  <autoFilter ref="A1:B21" xr:uid="{7AF677F7-7F98-44C8-AB34-CDCFBD47B63C}"/>
  <tableColumns count="2">
    <tableColumn id="1" xr3:uid="{0E2CD2F8-E575-4A71-9D62-021E6E464A0B}" uniqueName="1" name="Column1" queryTableFieldId="1" dataDxfId="9"/>
    <tableColumn id="2" xr3:uid="{B7902185-C4CD-4242-B0C9-BA1DD65EEDD8}" uniqueName="2" name="Column4" queryTableFieldId="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ED5B14-A47D-479E-ACF6-0EB52E5924AE}" name="Table2" displayName="Table2" ref="A1:D14" totalsRowShown="0" headerRowDxfId="8" headerRowBorderDxfId="7" tableBorderDxfId="6" totalsRowBorderDxfId="5">
  <autoFilter ref="A1:D14" xr:uid="{0EED5B14-A47D-479E-ACF6-0EB52E5924AE}"/>
  <tableColumns count="4">
    <tableColumn id="1" xr3:uid="{93147552-6495-47C8-97C4-CC5715BBBDD8}" name=" Line Item (Figures in ₦ Billions)" dataDxfId="4"/>
    <tableColumn id="2" xr3:uid="{A184B512-51E1-4D18-AFB8-0B49BFB1F5E9}" name="Q1 2026 Actual" dataDxfId="3"/>
    <tableColumn id="3" xr3:uid="{73FE0BC0-F4D9-484B-B4D3-2FA6FCC65650}" name="Q2 - Q4 2026 Forecast" dataDxfId="2"/>
    <tableColumn id="4" xr3:uid="{C4666797-CB37-42AF-8B2A-745138DD2CA3}" name="Full Year 2026 Target" dataDxfId="1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513B24-24AF-4D4C-82CE-208015C5D6BE}" name="Table7" displayName="Table7" ref="A1:E4" totalsRowShown="0">
  <autoFilter ref="A1:E4" xr:uid="{37513B24-24AF-4D4C-82CE-208015C5D6BE}"/>
  <tableColumns count="5">
    <tableColumn id="1" xr3:uid="{DF832576-6FBF-40A0-A18F-FE679C4D1756}" name="Metric (in ₦ Billions)"/>
    <tableColumn id="2" xr3:uid="{8C1EDE37-F088-47AE-B726-57A844039A06}" name="2023 Actual"/>
    <tableColumn id="3" xr3:uid="{28C5D713-5376-4D6B-B948-B2D256F4D8FD}" name="2024 Actual"/>
    <tableColumn id="4" xr3:uid="{B98223E1-7B13-4618-859B-6A2077DA63BC}" name="2025 Actual"/>
    <tableColumn id="5" xr3:uid="{A57FC5CB-7710-4278-B1E3-9A65C9B66D99}" name="2026 Base Cas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584B-95C6-43EA-8122-AC3F31E2F2D7}">
  <dimension ref="A1:B21"/>
  <sheetViews>
    <sheetView workbookViewId="0">
      <selection activeCell="B1" sqref="B1:B1048576"/>
    </sheetView>
  </sheetViews>
  <sheetFormatPr defaultRowHeight="15" x14ac:dyDescent="0.25"/>
  <cols>
    <col min="1" max="1" width="44.140625" bestFit="1" customWidth="1"/>
    <col min="2" max="2" width="11.140625" style="4" bestFit="1" customWidth="1"/>
    <col min="3" max="3" width="9.140625" customWidth="1"/>
  </cols>
  <sheetData>
    <row r="1" spans="1:2" x14ac:dyDescent="0.25">
      <c r="A1" t="s">
        <v>23</v>
      </c>
      <c r="B1" s="4" t="s">
        <v>24</v>
      </c>
    </row>
    <row r="2" spans="1:2" x14ac:dyDescent="0.25">
      <c r="A2" t="s">
        <v>2</v>
      </c>
      <c r="B2" s="4">
        <v>547118754</v>
      </c>
    </row>
    <row r="3" spans="1:2" x14ac:dyDescent="0.25">
      <c r="A3" t="s">
        <v>3</v>
      </c>
      <c r="B3" s="4">
        <v>-329945347</v>
      </c>
    </row>
    <row r="4" spans="1:2" x14ac:dyDescent="0.25">
      <c r="A4" t="s">
        <v>4</v>
      </c>
      <c r="B4" s="4">
        <v>217173407</v>
      </c>
    </row>
    <row r="5" spans="1:2" x14ac:dyDescent="0.25">
      <c r="A5" t="s">
        <v>47</v>
      </c>
      <c r="B5" s="4">
        <v>0</v>
      </c>
    </row>
    <row r="6" spans="1:2" x14ac:dyDescent="0.25">
      <c r="A6" t="s">
        <v>6</v>
      </c>
      <c r="B6" s="4">
        <v>-73779995</v>
      </c>
    </row>
    <row r="7" spans="1:2" x14ac:dyDescent="0.25">
      <c r="A7" t="s">
        <v>7</v>
      </c>
      <c r="B7" s="4">
        <v>-20089038</v>
      </c>
    </row>
    <row r="8" spans="1:2" x14ac:dyDescent="0.25">
      <c r="A8" t="s">
        <v>25</v>
      </c>
      <c r="B8" s="4">
        <v>483222</v>
      </c>
    </row>
    <row r="9" spans="1:2" x14ac:dyDescent="0.25">
      <c r="A9" t="s">
        <v>9</v>
      </c>
      <c r="B9" s="4">
        <v>123787596</v>
      </c>
    </row>
    <row r="10" spans="1:2" x14ac:dyDescent="0.25">
      <c r="A10" t="s">
        <v>10</v>
      </c>
      <c r="B10" s="4">
        <v>5690939</v>
      </c>
    </row>
    <row r="11" spans="1:2" x14ac:dyDescent="0.25">
      <c r="A11" t="s">
        <v>11</v>
      </c>
      <c r="B11" s="4">
        <v>-233503964</v>
      </c>
    </row>
    <row r="12" spans="1:2" x14ac:dyDescent="0.25">
      <c r="A12" t="s">
        <v>12</v>
      </c>
      <c r="B12" s="4">
        <v>-227813025</v>
      </c>
    </row>
    <row r="13" spans="1:2" x14ac:dyDescent="0.25">
      <c r="A13" t="s">
        <v>26</v>
      </c>
      <c r="B13" s="4">
        <v>-104025429</v>
      </c>
    </row>
    <row r="14" spans="1:2" x14ac:dyDescent="0.25">
      <c r="A14" t="s">
        <v>27</v>
      </c>
      <c r="B14" s="4">
        <v>24551648</v>
      </c>
    </row>
    <row r="15" spans="1:2" x14ac:dyDescent="0.25">
      <c r="A15" t="s">
        <v>28</v>
      </c>
      <c r="B15" s="4">
        <v>-79473781</v>
      </c>
    </row>
    <row r="16" spans="1:2" x14ac:dyDescent="0.25">
      <c r="A16" t="s">
        <v>30</v>
      </c>
      <c r="B16" s="4" t="s">
        <v>45</v>
      </c>
    </row>
    <row r="17" spans="1:2" x14ac:dyDescent="0.25">
      <c r="A17" t="s">
        <v>32</v>
      </c>
    </row>
    <row r="18" spans="1:2" x14ac:dyDescent="0.25">
      <c r="A18" t="s">
        <v>33</v>
      </c>
      <c r="B18" s="4" t="s">
        <v>45</v>
      </c>
    </row>
    <row r="19" spans="1:2" x14ac:dyDescent="0.25">
      <c r="A19" t="s">
        <v>34</v>
      </c>
      <c r="B19" s="4" t="s">
        <v>19</v>
      </c>
    </row>
    <row r="20" spans="1:2" x14ac:dyDescent="0.25">
      <c r="A20" t="s">
        <v>35</v>
      </c>
      <c r="B20" s="4" t="s">
        <v>46</v>
      </c>
    </row>
    <row r="21" spans="1:2" x14ac:dyDescent="0.25">
      <c r="A21" t="s">
        <v>37</v>
      </c>
      <c r="B21" s="4" t="s">
        <v>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6B9A-A47B-4CEF-BD99-A0F517023075}">
  <dimension ref="A1:C7"/>
  <sheetViews>
    <sheetView workbookViewId="0"/>
  </sheetViews>
  <sheetFormatPr defaultRowHeight="15" x14ac:dyDescent="0.25"/>
  <cols>
    <col min="1" max="1" width="44.140625" bestFit="1" customWidth="1"/>
    <col min="2" max="2" width="11.5703125" bestFit="1" customWidth="1"/>
    <col min="3" max="3" width="11.140625" bestFit="1" customWidth="1"/>
  </cols>
  <sheetData>
    <row r="1" spans="1:3" x14ac:dyDescent="0.25">
      <c r="A1" t="s">
        <v>23</v>
      </c>
      <c r="B1" t="s">
        <v>29</v>
      </c>
      <c r="C1" t="s">
        <v>24</v>
      </c>
    </row>
    <row r="2" spans="1:3" x14ac:dyDescent="0.25">
      <c r="A2" t="s">
        <v>30</v>
      </c>
      <c r="B2" t="s">
        <v>31</v>
      </c>
      <c r="C2" t="s">
        <v>45</v>
      </c>
    </row>
    <row r="3" spans="1:3" x14ac:dyDescent="0.25">
      <c r="A3" t="s">
        <v>32</v>
      </c>
    </row>
    <row r="4" spans="1:3" x14ac:dyDescent="0.25">
      <c r="A4" t="s">
        <v>33</v>
      </c>
      <c r="B4" t="s">
        <v>31</v>
      </c>
      <c r="C4" t="s">
        <v>45</v>
      </c>
    </row>
    <row r="5" spans="1:3" x14ac:dyDescent="0.25">
      <c r="A5" t="s">
        <v>34</v>
      </c>
      <c r="B5" t="s">
        <v>19</v>
      </c>
      <c r="C5" t="s">
        <v>19</v>
      </c>
    </row>
    <row r="6" spans="1:3" x14ac:dyDescent="0.25">
      <c r="A6" t="s">
        <v>35</v>
      </c>
      <c r="B6" t="s">
        <v>36</v>
      </c>
      <c r="C6" t="s">
        <v>46</v>
      </c>
    </row>
    <row r="7" spans="1:3" x14ac:dyDescent="0.25">
      <c r="A7" t="s">
        <v>37</v>
      </c>
      <c r="B7" t="s">
        <v>36</v>
      </c>
      <c r="C7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E6A1-45AF-45B0-9C73-12C85A4F402C}">
  <dimension ref="A1:D14"/>
  <sheetViews>
    <sheetView workbookViewId="0"/>
  </sheetViews>
  <sheetFormatPr defaultRowHeight="15" x14ac:dyDescent="0.25"/>
  <cols>
    <col min="1" max="1" width="40.7109375" bestFit="1" customWidth="1"/>
    <col min="2" max="4" width="11.140625" bestFit="1" customWidth="1"/>
  </cols>
  <sheetData>
    <row r="1" spans="1:4" x14ac:dyDescent="0.25">
      <c r="A1" t="s">
        <v>23</v>
      </c>
      <c r="B1" t="s">
        <v>29</v>
      </c>
      <c r="C1" t="s">
        <v>24</v>
      </c>
      <c r="D1" t="s">
        <v>39</v>
      </c>
    </row>
    <row r="2" spans="1:4" x14ac:dyDescent="0.25">
      <c r="A2" t="s">
        <v>2</v>
      </c>
      <c r="B2" t="s">
        <v>40</v>
      </c>
      <c r="C2">
        <v>547118754</v>
      </c>
      <c r="D2">
        <v>446819260</v>
      </c>
    </row>
    <row r="3" spans="1:4" x14ac:dyDescent="0.25">
      <c r="A3" t="s">
        <v>3</v>
      </c>
      <c r="B3" t="s">
        <v>41</v>
      </c>
      <c r="C3">
        <v>-329945347</v>
      </c>
      <c r="D3">
        <v>-291054270</v>
      </c>
    </row>
    <row r="4" spans="1:4" x14ac:dyDescent="0.25">
      <c r="A4" t="s">
        <v>4</v>
      </c>
      <c r="C4">
        <v>217173407</v>
      </c>
      <c r="D4">
        <v>155764990</v>
      </c>
    </row>
    <row r="5" spans="1:4" x14ac:dyDescent="0.25">
      <c r="A5" t="s">
        <v>6</v>
      </c>
      <c r="B5" t="s">
        <v>41</v>
      </c>
      <c r="C5">
        <v>-73779995</v>
      </c>
      <c r="D5">
        <v>-57331351</v>
      </c>
    </row>
    <row r="6" spans="1:4" x14ac:dyDescent="0.25">
      <c r="A6" t="s">
        <v>7</v>
      </c>
      <c r="B6" t="s">
        <v>41</v>
      </c>
      <c r="C6">
        <v>-20089038</v>
      </c>
      <c r="D6">
        <v>-10935972</v>
      </c>
    </row>
    <row r="7" spans="1:4" x14ac:dyDescent="0.25">
      <c r="A7" t="s">
        <v>25</v>
      </c>
      <c r="B7" t="s">
        <v>42</v>
      </c>
      <c r="C7">
        <v>483222</v>
      </c>
      <c r="D7">
        <v>-29043</v>
      </c>
    </row>
    <row r="8" spans="1:4" x14ac:dyDescent="0.25">
      <c r="A8" t="s">
        <v>9</v>
      </c>
      <c r="C8">
        <v>123787596</v>
      </c>
      <c r="D8">
        <v>87468624</v>
      </c>
    </row>
    <row r="9" spans="1:4" x14ac:dyDescent="0.25">
      <c r="A9" t="s">
        <v>10</v>
      </c>
      <c r="B9" t="s">
        <v>43</v>
      </c>
      <c r="C9">
        <v>5690939</v>
      </c>
      <c r="D9">
        <v>4777113</v>
      </c>
    </row>
    <row r="10" spans="1:4" x14ac:dyDescent="0.25">
      <c r="A10" t="s">
        <v>11</v>
      </c>
      <c r="B10" t="s">
        <v>43</v>
      </c>
      <c r="C10">
        <v>-233503964</v>
      </c>
      <c r="D10">
        <v>-21136366</v>
      </c>
    </row>
    <row r="11" spans="1:4" x14ac:dyDescent="0.25">
      <c r="A11" t="s">
        <v>12</v>
      </c>
      <c r="C11">
        <v>-227813025</v>
      </c>
      <c r="D11">
        <v>-16359253</v>
      </c>
    </row>
    <row r="12" spans="1:4" x14ac:dyDescent="0.25">
      <c r="A12" t="s">
        <v>26</v>
      </c>
      <c r="C12">
        <v>-104025429</v>
      </c>
      <c r="D12">
        <v>71109371</v>
      </c>
    </row>
    <row r="13" spans="1:4" x14ac:dyDescent="0.25">
      <c r="A13" t="s">
        <v>27</v>
      </c>
      <c r="B13" t="s">
        <v>44</v>
      </c>
      <c r="C13">
        <v>24551648</v>
      </c>
      <c r="D13">
        <v>-22143883</v>
      </c>
    </row>
    <row r="14" spans="1:4" x14ac:dyDescent="0.25">
      <c r="A14" t="s">
        <v>28</v>
      </c>
      <c r="C14">
        <v>-79473781</v>
      </c>
      <c r="D14">
        <v>48965488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7019-9680-468F-828C-1DB6967C09C6}">
  <dimension ref="A1:H33"/>
  <sheetViews>
    <sheetView showGridLines="0" tabSelected="1" zoomScale="90" zoomScaleNormal="90" workbookViewId="0">
      <pane xSplit="1" topLeftCell="B1" activePane="topRight" state="frozen"/>
      <selection pane="topRight" activeCell="D25" sqref="D25"/>
    </sheetView>
  </sheetViews>
  <sheetFormatPr defaultRowHeight="15" x14ac:dyDescent="0.25"/>
  <cols>
    <col min="1" max="1" width="39.85546875" style="1" bestFit="1" customWidth="1"/>
    <col min="2" max="2" width="23.28515625" style="3" bestFit="1" customWidth="1"/>
    <col min="3" max="3" width="20.7109375" style="3" bestFit="1" customWidth="1"/>
    <col min="4" max="4" width="21.140625" style="3" customWidth="1"/>
    <col min="5" max="5" width="17.42578125" bestFit="1" customWidth="1"/>
    <col min="6" max="6" width="14.140625" bestFit="1" customWidth="1"/>
    <col min="7" max="7" width="17.42578125" bestFit="1" customWidth="1"/>
    <col min="8" max="8" width="14.140625" bestFit="1" customWidth="1"/>
  </cols>
  <sheetData>
    <row r="1" spans="1:8" s="6" customFormat="1" x14ac:dyDescent="0.25">
      <c r="A1" s="5" t="s">
        <v>55</v>
      </c>
      <c r="B1" s="2" t="s">
        <v>0</v>
      </c>
      <c r="C1" s="2" t="s">
        <v>1</v>
      </c>
      <c r="D1" s="2" t="s">
        <v>38</v>
      </c>
      <c r="E1" s="6" t="s">
        <v>48</v>
      </c>
      <c r="F1" s="6" t="s">
        <v>49</v>
      </c>
      <c r="G1" s="6" t="s">
        <v>50</v>
      </c>
      <c r="H1" s="6" t="s">
        <v>51</v>
      </c>
    </row>
    <row r="2" spans="1:8" x14ac:dyDescent="0.25">
      <c r="A2" s="48" t="s">
        <v>2</v>
      </c>
      <c r="B2" s="61">
        <v>1207773081</v>
      </c>
      <c r="C2" s="61">
        <v>958814739</v>
      </c>
      <c r="D2" s="61">
        <f>_xlfn.XLOOKUP(A2, Append1!A:A, Append1!B:B,0)</f>
        <v>547118754</v>
      </c>
      <c r="E2" s="9">
        <f>C2-D2</f>
        <v>411695985</v>
      </c>
      <c r="F2" s="10">
        <f>E2/ABS(D2)</f>
        <v>0.75248011878605792</v>
      </c>
      <c r="G2" s="9">
        <f t="shared" ref="G2:G23" si="0">B2-C2</f>
        <v>248958342</v>
      </c>
      <c r="H2" s="10">
        <f>G2/ABS(C2)</f>
        <v>0.25965218500880805</v>
      </c>
    </row>
    <row r="3" spans="1:8" x14ac:dyDescent="0.25">
      <c r="A3" s="8" t="s">
        <v>3</v>
      </c>
      <c r="B3" s="62">
        <v>-771881648</v>
      </c>
      <c r="C3" s="62">
        <v>-652459896</v>
      </c>
      <c r="D3" s="62">
        <f>_xlfn.XLOOKUP(A3, Append1!A:A, Append1!B:B,0)</f>
        <v>-329945347</v>
      </c>
      <c r="E3" s="9">
        <f t="shared" ref="E3:E23" si="1">C3-D3</f>
        <v>-322514549</v>
      </c>
      <c r="F3" s="10">
        <f t="shared" ref="F3:F23" si="2">E3/ABS(D3)</f>
        <v>-0.97747870043459051</v>
      </c>
      <c r="G3" s="9">
        <f t="shared" si="0"/>
        <v>-119421752</v>
      </c>
      <c r="H3" s="10">
        <f t="shared" ref="H3:H23" si="3">G3/ABS(C3)</f>
        <v>-0.18303309173810126</v>
      </c>
    </row>
    <row r="4" spans="1:8" x14ac:dyDescent="0.25">
      <c r="A4" s="59" t="s">
        <v>4</v>
      </c>
      <c r="B4" s="63">
        <v>435891433</v>
      </c>
      <c r="C4" s="63">
        <v>306354843</v>
      </c>
      <c r="D4" s="63">
        <f>_xlfn.XLOOKUP(A4, Append1!A:A, Append1!B:B,0)</f>
        <v>217173407</v>
      </c>
      <c r="E4" s="60">
        <f t="shared" si="1"/>
        <v>89181436</v>
      </c>
      <c r="F4" s="10">
        <f t="shared" si="2"/>
        <v>0.41064620770995225</v>
      </c>
      <c r="G4" s="60">
        <f t="shared" si="0"/>
        <v>129536590</v>
      </c>
      <c r="H4" s="10">
        <f t="shared" si="3"/>
        <v>0.42283186624864294</v>
      </c>
    </row>
    <row r="5" spans="1:8" x14ac:dyDescent="0.25">
      <c r="A5" s="12" t="s">
        <v>52</v>
      </c>
      <c r="B5" s="49">
        <f>B4/B2</f>
        <v>0.36090507385633641</v>
      </c>
      <c r="C5" s="49">
        <f t="shared" ref="C5:D5" si="4">C4/C2</f>
        <v>0.31951411522888573</v>
      </c>
      <c r="D5" s="49">
        <f t="shared" si="4"/>
        <v>0.39694016228147794</v>
      </c>
      <c r="E5" s="14"/>
      <c r="F5" s="10"/>
      <c r="G5" s="15"/>
      <c r="H5" s="10">
        <f t="shared" si="3"/>
        <v>0</v>
      </c>
    </row>
    <row r="6" spans="1:8" x14ac:dyDescent="0.25">
      <c r="A6" s="8" t="s">
        <v>5</v>
      </c>
      <c r="B6" s="62">
        <v>1152207</v>
      </c>
      <c r="C6" s="62">
        <v>737107</v>
      </c>
      <c r="D6" s="62">
        <v>454436</v>
      </c>
      <c r="E6" s="9">
        <f t="shared" si="1"/>
        <v>282671</v>
      </c>
      <c r="F6" s="10">
        <f t="shared" si="2"/>
        <v>0.62202598385691277</v>
      </c>
      <c r="G6" s="9">
        <f t="shared" si="0"/>
        <v>415100</v>
      </c>
      <c r="H6" s="10">
        <f t="shared" si="3"/>
        <v>0.56314754845632997</v>
      </c>
    </row>
    <row r="7" spans="1:8" hidden="1" x14ac:dyDescent="0.25">
      <c r="A7" s="8" t="s">
        <v>6</v>
      </c>
      <c r="B7" s="62">
        <v>-161694691</v>
      </c>
      <c r="C7" s="62">
        <v>-106851671</v>
      </c>
      <c r="D7" s="62">
        <f>_xlfn.XLOOKUP(A7, Append1!A:A, Append1!B:B,0)</f>
        <v>-73779995</v>
      </c>
      <c r="E7" s="9">
        <f t="shared" si="1"/>
        <v>-33071676</v>
      </c>
      <c r="F7" s="10">
        <f t="shared" si="2"/>
        <v>-0.44824719763128201</v>
      </c>
      <c r="G7" s="9">
        <f t="shared" si="0"/>
        <v>-54843020</v>
      </c>
      <c r="H7" s="10">
        <f t="shared" si="3"/>
        <v>-0.51326310095796257</v>
      </c>
    </row>
    <row r="8" spans="1:8" hidden="1" x14ac:dyDescent="0.25">
      <c r="A8" s="8" t="s">
        <v>7</v>
      </c>
      <c r="B8" s="62">
        <v>-49811090</v>
      </c>
      <c r="C8" s="62">
        <v>-32529512</v>
      </c>
      <c r="D8" s="62">
        <f>_xlfn.XLOOKUP(A8, Append1!A:A, Append1!B:B,0)</f>
        <v>-20089038</v>
      </c>
      <c r="E8" s="9">
        <f t="shared" si="1"/>
        <v>-12440474</v>
      </c>
      <c r="F8" s="10">
        <f t="shared" si="2"/>
        <v>-0.61926678619454056</v>
      </c>
      <c r="G8" s="9">
        <f t="shared" si="0"/>
        <v>-17281578</v>
      </c>
      <c r="H8" s="10">
        <f t="shared" si="3"/>
        <v>-0.53125844617650586</v>
      </c>
    </row>
    <row r="9" spans="1:8" hidden="1" x14ac:dyDescent="0.25">
      <c r="A9" s="8" t="s">
        <v>8</v>
      </c>
      <c r="B9" s="9">
        <v>-155181</v>
      </c>
      <c r="C9" s="9">
        <v>165495</v>
      </c>
      <c r="D9" s="17">
        <v>483222</v>
      </c>
      <c r="E9" s="9">
        <f t="shared" si="1"/>
        <v>-317727</v>
      </c>
      <c r="F9" s="10">
        <f t="shared" si="2"/>
        <v>-0.65751766268919876</v>
      </c>
      <c r="G9" s="9">
        <f t="shared" si="0"/>
        <v>-320676</v>
      </c>
      <c r="H9" s="10">
        <f t="shared" si="3"/>
        <v>-1.9376778754645156</v>
      </c>
    </row>
    <row r="10" spans="1:8" hidden="1" x14ac:dyDescent="0.25">
      <c r="A10" s="59" t="s">
        <v>9</v>
      </c>
      <c r="B10" s="60">
        <v>225382678</v>
      </c>
      <c r="C10" s="60">
        <v>167876262</v>
      </c>
      <c r="D10" s="60">
        <f>_xlfn.XLOOKUP(A10, Append1!A:A, Append1!B:B,0)</f>
        <v>123787596</v>
      </c>
      <c r="E10" s="60">
        <f t="shared" si="1"/>
        <v>44088666</v>
      </c>
      <c r="F10" s="10">
        <f t="shared" si="2"/>
        <v>0.35616384375054833</v>
      </c>
      <c r="G10" s="60">
        <f t="shared" si="0"/>
        <v>57506416</v>
      </c>
      <c r="H10" s="10">
        <f t="shared" si="3"/>
        <v>0.34255239731273024</v>
      </c>
    </row>
    <row r="11" spans="1:8" hidden="1" x14ac:dyDescent="0.25">
      <c r="A11" s="12" t="s">
        <v>53</v>
      </c>
      <c r="B11" s="13">
        <f>B10/B2</f>
        <v>0.18661011869331437</v>
      </c>
      <c r="C11" s="13">
        <f t="shared" ref="C11:D11" si="5">C10/C2</f>
        <v>0.17508727720965916</v>
      </c>
      <c r="D11" s="13">
        <f t="shared" si="5"/>
        <v>0.22625361513379963</v>
      </c>
      <c r="E11" s="11"/>
      <c r="F11" s="10"/>
      <c r="G11" s="11"/>
      <c r="H11" s="10">
        <f t="shared" si="3"/>
        <v>0</v>
      </c>
    </row>
    <row r="12" spans="1:8" hidden="1" x14ac:dyDescent="0.25">
      <c r="A12" s="8" t="s">
        <v>10</v>
      </c>
      <c r="B12" s="9">
        <v>42425284</v>
      </c>
      <c r="C12" s="9">
        <v>3367575</v>
      </c>
      <c r="D12" s="9">
        <f>_xlfn.XLOOKUP(A12, Append1!A:A, Append1!B:B,0)</f>
        <v>5690939</v>
      </c>
      <c r="E12" s="9">
        <f t="shared" si="1"/>
        <v>-2323364</v>
      </c>
      <c r="F12" s="10">
        <f t="shared" si="2"/>
        <v>-0.40825670420997306</v>
      </c>
      <c r="G12" s="9">
        <f t="shared" si="0"/>
        <v>39057709</v>
      </c>
      <c r="H12" s="10">
        <f t="shared" si="3"/>
        <v>11.598170493604448</v>
      </c>
    </row>
    <row r="13" spans="1:8" x14ac:dyDescent="0.25">
      <c r="A13" s="8" t="s">
        <v>11</v>
      </c>
      <c r="B13" s="9">
        <v>-100961184</v>
      </c>
      <c r="C13" s="9">
        <v>-392832386</v>
      </c>
      <c r="D13" s="9">
        <f>_xlfn.XLOOKUP(A13, Append1!A:A, Append1!B:B,0)</f>
        <v>-233503964</v>
      </c>
      <c r="E13" s="9">
        <f t="shared" si="1"/>
        <v>-159328422</v>
      </c>
      <c r="F13" s="10">
        <f t="shared" si="2"/>
        <v>-0.68233711869662306</v>
      </c>
      <c r="G13" s="9">
        <f t="shared" si="0"/>
        <v>291871202</v>
      </c>
      <c r="H13" s="10">
        <f t="shared" si="3"/>
        <v>0.74299169926381781</v>
      </c>
    </row>
    <row r="14" spans="1:8" x14ac:dyDescent="0.25">
      <c r="A14" s="8" t="s">
        <v>12</v>
      </c>
      <c r="B14" s="9">
        <v>-58535900</v>
      </c>
      <c r="C14" s="9">
        <v>-389464811</v>
      </c>
      <c r="D14" s="9">
        <f>_xlfn.XLOOKUP(A14, Append1!A:A, Append1!B:B,0)</f>
        <v>-227813025</v>
      </c>
      <c r="E14" s="9">
        <f t="shared" si="1"/>
        <v>-161651786</v>
      </c>
      <c r="F14" s="10">
        <f t="shared" si="2"/>
        <v>-0.70958096447733843</v>
      </c>
      <c r="G14" s="9">
        <f t="shared" si="0"/>
        <v>330928911</v>
      </c>
      <c r="H14" s="10">
        <f t="shared" si="3"/>
        <v>0.84970169744038826</v>
      </c>
    </row>
    <row r="15" spans="1:8" x14ac:dyDescent="0.25">
      <c r="A15" s="59" t="s">
        <v>13</v>
      </c>
      <c r="B15" s="60">
        <v>166846778</v>
      </c>
      <c r="C15" s="60">
        <v>-221588549</v>
      </c>
      <c r="D15" s="60">
        <v>-104025429</v>
      </c>
      <c r="E15" s="60">
        <f t="shared" si="1"/>
        <v>-117563120</v>
      </c>
      <c r="F15" s="10">
        <f t="shared" si="2"/>
        <v>-1.1301382857070457</v>
      </c>
      <c r="G15" s="60">
        <f t="shared" si="0"/>
        <v>388435327</v>
      </c>
      <c r="H15" s="10">
        <f t="shared" si="3"/>
        <v>1.7529575817566276</v>
      </c>
    </row>
    <row r="16" spans="1:8" hidden="1" x14ac:dyDescent="0.25">
      <c r="A16" s="8" t="s">
        <v>14</v>
      </c>
      <c r="B16" s="9">
        <v>61880777</v>
      </c>
      <c r="C16" s="9">
        <v>56993527</v>
      </c>
      <c r="D16" s="9">
        <v>24551648</v>
      </c>
      <c r="E16" s="9">
        <f t="shared" si="1"/>
        <v>32441879</v>
      </c>
      <c r="F16" s="10">
        <f t="shared" si="2"/>
        <v>1.321372764875091</v>
      </c>
      <c r="G16" s="9">
        <f t="shared" si="0"/>
        <v>4887250</v>
      </c>
      <c r="H16" s="10">
        <f t="shared" si="3"/>
        <v>8.5750966070234608E-2</v>
      </c>
    </row>
    <row r="17" spans="1:8" x14ac:dyDescent="0.25">
      <c r="A17" s="59" t="s">
        <v>15</v>
      </c>
      <c r="B17" s="60">
        <v>104966001</v>
      </c>
      <c r="C17" s="60">
        <v>-164595022</v>
      </c>
      <c r="D17" s="60">
        <v>-79473781</v>
      </c>
      <c r="E17" s="60">
        <f t="shared" si="1"/>
        <v>-85121241</v>
      </c>
      <c r="F17" s="10">
        <f t="shared" si="2"/>
        <v>-1.071060668423464</v>
      </c>
      <c r="G17" s="60">
        <f t="shared" si="0"/>
        <v>269561023</v>
      </c>
      <c r="H17" s="10">
        <f t="shared" si="3"/>
        <v>1.6377228164287982</v>
      </c>
    </row>
    <row r="18" spans="1:8" s="7" customFormat="1" x14ac:dyDescent="0.25">
      <c r="A18" s="18" t="s">
        <v>54</v>
      </c>
      <c r="B18" s="19">
        <f>B17/B2</f>
        <v>8.6908710461646721E-2</v>
      </c>
      <c r="C18" s="19">
        <f t="shared" ref="C18:D18" si="6">C17/C2</f>
        <v>-0.17166509368813532</v>
      </c>
      <c r="D18" s="19">
        <f t="shared" si="6"/>
        <v>-0.14525874029900279</v>
      </c>
      <c r="E18" s="11"/>
      <c r="F18" s="10"/>
      <c r="G18" s="16"/>
      <c r="H18" s="10"/>
    </row>
    <row r="19" spans="1:8" x14ac:dyDescent="0.25">
      <c r="A19" s="8" t="s">
        <v>16</v>
      </c>
      <c r="B19" s="20"/>
      <c r="C19" s="20"/>
      <c r="D19" s="20"/>
      <c r="E19" s="11"/>
      <c r="F19" s="10"/>
      <c r="G19" s="16"/>
      <c r="H19" s="10"/>
    </row>
    <row r="20" spans="1:8" x14ac:dyDescent="0.25">
      <c r="A20" s="8" t="s">
        <v>17</v>
      </c>
      <c r="B20" s="9">
        <v>104966001</v>
      </c>
      <c r="C20" s="9">
        <v>-164595022</v>
      </c>
      <c r="D20" s="17">
        <v>-79473781</v>
      </c>
      <c r="E20" s="9">
        <f t="shared" si="1"/>
        <v>-85121241</v>
      </c>
      <c r="F20" s="10">
        <f t="shared" si="2"/>
        <v>-1.071060668423464</v>
      </c>
      <c r="G20" s="9">
        <f t="shared" si="0"/>
        <v>269561023</v>
      </c>
      <c r="H20" s="10">
        <f t="shared" si="3"/>
        <v>1.6377228164287982</v>
      </c>
    </row>
    <row r="21" spans="1:8" x14ac:dyDescent="0.25">
      <c r="A21" s="22" t="s">
        <v>18</v>
      </c>
      <c r="B21" s="23" t="s">
        <v>19</v>
      </c>
      <c r="C21" s="23" t="s">
        <v>19</v>
      </c>
      <c r="D21" s="23" t="s">
        <v>19</v>
      </c>
      <c r="E21" s="23"/>
      <c r="F21" s="10"/>
      <c r="G21" s="23"/>
      <c r="H21" s="10"/>
    </row>
    <row r="22" spans="1:8" x14ac:dyDescent="0.25">
      <c r="A22" s="22" t="s">
        <v>20</v>
      </c>
      <c r="B22" s="23" t="s">
        <v>21</v>
      </c>
      <c r="C22" s="23">
        <v>-207.65</v>
      </c>
      <c r="D22" s="23">
        <v>61.77</v>
      </c>
      <c r="E22" s="23">
        <f t="shared" si="1"/>
        <v>-269.42</v>
      </c>
      <c r="F22" s="10"/>
      <c r="G22" s="23">
        <f t="shared" si="0"/>
        <v>340.07</v>
      </c>
      <c r="H22" s="10"/>
    </row>
    <row r="23" spans="1:8" x14ac:dyDescent="0.25">
      <c r="A23" s="22" t="s">
        <v>22</v>
      </c>
      <c r="B23" s="23" t="s">
        <v>21</v>
      </c>
      <c r="C23" s="23">
        <v>-207.65</v>
      </c>
      <c r="D23" s="23">
        <v>61.77</v>
      </c>
      <c r="E23" s="23">
        <f t="shared" si="1"/>
        <v>-269.42</v>
      </c>
      <c r="F23" s="10"/>
      <c r="G23" s="23">
        <f t="shared" si="0"/>
        <v>340.07</v>
      </c>
      <c r="H23" s="10"/>
    </row>
    <row r="25" spans="1:8" ht="120" customHeight="1" x14ac:dyDescent="0.25">
      <c r="A25" s="21" t="s">
        <v>107</v>
      </c>
      <c r="B25" s="21" t="s">
        <v>106</v>
      </c>
    </row>
    <row r="26" spans="1:8" x14ac:dyDescent="0.25">
      <c r="A26" t="s">
        <v>113</v>
      </c>
      <c r="B26" t="s">
        <v>114</v>
      </c>
      <c r="C26" t="s">
        <v>126</v>
      </c>
      <c r="D26"/>
    </row>
    <row r="27" spans="1:8" x14ac:dyDescent="0.25">
      <c r="A27" t="s">
        <v>115</v>
      </c>
      <c r="B27" t="s">
        <v>116</v>
      </c>
      <c r="C27" t="s">
        <v>122</v>
      </c>
      <c r="D27"/>
    </row>
    <row r="28" spans="1:8" x14ac:dyDescent="0.25">
      <c r="A28" t="s">
        <v>117</v>
      </c>
      <c r="B28" t="s">
        <v>116</v>
      </c>
      <c r="C28" t="s">
        <v>127</v>
      </c>
      <c r="D28"/>
    </row>
    <row r="29" spans="1:8" x14ac:dyDescent="0.25">
      <c r="A29" t="s">
        <v>118</v>
      </c>
      <c r="B29" t="s">
        <v>119</v>
      </c>
      <c r="C29" t="s">
        <v>124</v>
      </c>
      <c r="D29"/>
    </row>
    <row r="30" spans="1:8" x14ac:dyDescent="0.25">
      <c r="A30" t="s">
        <v>128</v>
      </c>
      <c r="B30" t="s">
        <v>116</v>
      </c>
      <c r="C30" t="s">
        <v>123</v>
      </c>
      <c r="D30"/>
    </row>
    <row r="31" spans="1:8" x14ac:dyDescent="0.25">
      <c r="A31" t="s">
        <v>120</v>
      </c>
      <c r="B31" t="s">
        <v>121</v>
      </c>
      <c r="C31" t="s">
        <v>125</v>
      </c>
      <c r="D31"/>
    </row>
    <row r="32" spans="1:8" x14ac:dyDescent="0.25">
      <c r="A32"/>
      <c r="B32"/>
      <c r="C32"/>
      <c r="D32"/>
    </row>
    <row r="33" customFormat="1" x14ac:dyDescent="0.25"/>
  </sheetData>
  <pageMargins left="0.7" right="0.7" top="0.75" bottom="0.75" header="0.3" footer="0.3"/>
  <ignoredErrors>
    <ignoredError sqref="D15:D18 D20:D23 D9 D5:D6 D11" calculatedColumn="1"/>
  </ignoredErrors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4E92-5E05-418B-9F09-4B41D7A4CFAD}">
  <dimension ref="A1:E19"/>
  <sheetViews>
    <sheetView showGridLines="0" workbookViewId="0">
      <selection activeCell="B10" sqref="B10"/>
    </sheetView>
  </sheetViews>
  <sheetFormatPr defaultRowHeight="15" x14ac:dyDescent="0.25"/>
  <cols>
    <col min="1" max="1" width="37.7109375" bestFit="1" customWidth="1"/>
    <col min="2" max="2" width="16.85546875" bestFit="1" customWidth="1"/>
    <col min="3" max="3" width="12" bestFit="1" customWidth="1"/>
    <col min="4" max="4" width="17.140625" bestFit="1" customWidth="1"/>
    <col min="5" max="5" width="16.28515625" bestFit="1" customWidth="1"/>
  </cols>
  <sheetData>
    <row r="1" spans="1:5" x14ac:dyDescent="0.25">
      <c r="A1" s="24" t="s">
        <v>56</v>
      </c>
      <c r="B1" s="25" t="s">
        <v>57</v>
      </c>
      <c r="C1" s="25" t="s">
        <v>58</v>
      </c>
      <c r="D1" s="25" t="s">
        <v>59</v>
      </c>
      <c r="E1" s="26" t="s">
        <v>60</v>
      </c>
    </row>
    <row r="2" spans="1:5" x14ac:dyDescent="0.25">
      <c r="A2" s="27" t="s">
        <v>61</v>
      </c>
      <c r="B2" s="28" t="s">
        <v>62</v>
      </c>
      <c r="C2" s="28" t="s">
        <v>63</v>
      </c>
      <c r="D2" s="28" t="s">
        <v>64</v>
      </c>
      <c r="E2" s="29" t="s">
        <v>65</v>
      </c>
    </row>
    <row r="3" spans="1:5" x14ac:dyDescent="0.25">
      <c r="A3" s="30" t="s">
        <v>66</v>
      </c>
      <c r="B3" s="32">
        <f>AVERAGE('Historical Variance Analysis'!F2, 'Historical Variance Analysis'!H2)</f>
        <v>0.50606615189743298</v>
      </c>
      <c r="C3" s="32">
        <v>0.18</v>
      </c>
      <c r="D3" s="32">
        <v>0.25</v>
      </c>
      <c r="E3" s="32">
        <v>0.08</v>
      </c>
    </row>
    <row r="4" spans="1:5" x14ac:dyDescent="0.25">
      <c r="A4" s="30" t="s">
        <v>67</v>
      </c>
      <c r="B4" s="32">
        <f>AVERAGE('Historical Variance Analysis'!B5, 'Historical Variance Analysis'!C5, 'Historical Variance Analysis'!D5)</f>
        <v>0.35911978378890003</v>
      </c>
      <c r="C4" s="32">
        <v>0.37</v>
      </c>
      <c r="D4" s="32">
        <v>0.39</v>
      </c>
      <c r="E4" s="32">
        <v>0.31</v>
      </c>
    </row>
    <row r="5" spans="1:5" x14ac:dyDescent="0.25">
      <c r="A5" s="30" t="s">
        <v>68</v>
      </c>
      <c r="B5" s="32">
        <f>AVERAGE(ABS('Historical Variance Analysis'!B7/'Historical Variance Analysis'!B2), ABS('Historical Variance Analysis'!C7/'Historical Variance Analysis'!C2), ABS('Historical Variance Analysis'!D7/'Historical Variance Analysis'!D2))</f>
        <v>0.12672388962311054</v>
      </c>
      <c r="C5" s="32">
        <v>0.12</v>
      </c>
      <c r="D5" s="33">
        <v>0.115</v>
      </c>
      <c r="E5" s="33">
        <v>0.13500000000000001</v>
      </c>
    </row>
    <row r="6" spans="1:5" x14ac:dyDescent="0.25">
      <c r="A6" s="30" t="s">
        <v>69</v>
      </c>
      <c r="B6" s="32">
        <f>AVERAGE(ABS('Historical Variance Analysis'!B8/'Historical Variance Analysis'!B2), ABS('Historical Variance Analysis'!C8/'Historical Variance Analysis'!C2), ABS('Historical Variance Analysis'!D8/'Historical Variance Analysis'!D2))</f>
        <v>3.7295588044733964E-2</v>
      </c>
      <c r="C6" s="32">
        <v>0.04</v>
      </c>
      <c r="D6" s="33">
        <v>3.5000000000000003E-2</v>
      </c>
      <c r="E6" s="33">
        <v>0.05</v>
      </c>
    </row>
    <row r="7" spans="1:5" x14ac:dyDescent="0.25">
      <c r="A7" s="30" t="s">
        <v>70</v>
      </c>
      <c r="B7" s="37">
        <f>AVERAGE('Historical Variance Analysis'!B14, 'Historical Variance Analysis'!C14, 'Historical Variance Analysis'!D14)/1000000</f>
        <v>-225.27124533333335</v>
      </c>
      <c r="C7" s="37">
        <v>-60</v>
      </c>
      <c r="D7" s="37">
        <v>-40</v>
      </c>
      <c r="E7" s="37">
        <v>-150</v>
      </c>
    </row>
    <row r="8" spans="1:5" x14ac:dyDescent="0.25">
      <c r="A8" s="31" t="s">
        <v>71</v>
      </c>
      <c r="B8" s="32">
        <f>AVERAGE(ABS('Historical Variance Analysis'!B16/'Historical Variance Analysis'!B14), ABS('Historical Variance Analysis'!C16/'Historical Variance Analysis'!C14))</f>
        <v>0.60174019161732717</v>
      </c>
      <c r="C8" s="32">
        <v>0.32</v>
      </c>
      <c r="D8" s="32">
        <v>0.32</v>
      </c>
      <c r="E8" s="32">
        <v>0.35</v>
      </c>
    </row>
    <row r="9" spans="1:5" x14ac:dyDescent="0.25">
      <c r="A9" s="27"/>
      <c r="B9" s="28"/>
      <c r="C9" s="28"/>
      <c r="D9" s="28"/>
      <c r="E9" s="29"/>
    </row>
    <row r="10" spans="1:5" x14ac:dyDescent="0.25">
      <c r="A10" s="28" t="s">
        <v>72</v>
      </c>
      <c r="B10" s="34" t="s">
        <v>58</v>
      </c>
    </row>
    <row r="12" spans="1:5" x14ac:dyDescent="0.25">
      <c r="A12" t="s">
        <v>73</v>
      </c>
      <c r="B12" s="35">
        <f>INDEX($C$3:$E$3, MATCH($B$10, $C$1:$E$1, 0))</f>
        <v>0.18</v>
      </c>
    </row>
    <row r="13" spans="1:5" x14ac:dyDescent="0.25">
      <c r="A13" t="s">
        <v>74</v>
      </c>
      <c r="B13" s="35">
        <f>INDEX($C$4:$E$4, MATCH($B$10, $C$1:$E$1, 0))</f>
        <v>0.37</v>
      </c>
    </row>
    <row r="14" spans="1:5" x14ac:dyDescent="0.25">
      <c r="A14" t="s">
        <v>75</v>
      </c>
      <c r="B14" s="35">
        <f>INDEX($C$5:$E$5, MATCH($B$10, $C$1:$E$1, 0))</f>
        <v>0.12</v>
      </c>
    </row>
    <row r="15" spans="1:5" x14ac:dyDescent="0.25">
      <c r="A15" t="s">
        <v>76</v>
      </c>
      <c r="B15" s="35">
        <f>INDEX($C$6:$E$6, MATCH($B$10, $C$1:$E$1, 0))</f>
        <v>0.04</v>
      </c>
    </row>
    <row r="16" spans="1:5" x14ac:dyDescent="0.25">
      <c r="A16" t="s">
        <v>77</v>
      </c>
      <c r="B16" s="36" cm="1">
        <f t="array" ref="B16">_xlfn.IFS($B$10="Base Case", C7, $B$10="Optimistic Case", D7, $B$10="Worst Case", E7)</f>
        <v>-60</v>
      </c>
    </row>
    <row r="17" spans="1:2" x14ac:dyDescent="0.25">
      <c r="A17" t="s">
        <v>78</v>
      </c>
      <c r="B17" s="35">
        <f>INDEX($C$8:$E$8, MATCH($B$10, $C$1:$E$1, 0))</f>
        <v>0.32</v>
      </c>
    </row>
    <row r="19" spans="1:2" x14ac:dyDescent="0.25">
      <c r="A19" s="45" t="s">
        <v>108</v>
      </c>
    </row>
  </sheetData>
  <dataValidations count="1">
    <dataValidation type="list" allowBlank="1" showInputMessage="1" showErrorMessage="1" sqref="B10" xr:uid="{D41276B1-C0DA-4ECD-ADF5-E375C3235360}">
      <formula1>"Base Case, Optimistic Case, Worst Case"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6AD1-C7EB-4FE7-80F5-FAED263639FD}">
  <dimension ref="A1:B21"/>
  <sheetViews>
    <sheetView workbookViewId="0">
      <selection activeCell="A14" sqref="A14"/>
    </sheetView>
  </sheetViews>
  <sheetFormatPr defaultRowHeight="15" x14ac:dyDescent="0.25"/>
  <cols>
    <col min="1" max="1" width="45.140625" bestFit="1" customWidth="1"/>
    <col min="2" max="2" width="11.140625" bestFit="1" customWidth="1"/>
  </cols>
  <sheetData>
    <row r="1" spans="1:2" x14ac:dyDescent="0.25">
      <c r="A1" t="s">
        <v>23</v>
      </c>
      <c r="B1" t="s">
        <v>39</v>
      </c>
    </row>
    <row r="2" spans="1:2" x14ac:dyDescent="0.25">
      <c r="A2" t="s">
        <v>2</v>
      </c>
      <c r="B2">
        <v>326126755</v>
      </c>
    </row>
    <row r="3" spans="1:2" x14ac:dyDescent="0.25">
      <c r="A3" t="s">
        <v>3</v>
      </c>
      <c r="B3">
        <v>-194068808</v>
      </c>
    </row>
    <row r="4" spans="1:2" x14ac:dyDescent="0.25">
      <c r="A4" t="s">
        <v>4</v>
      </c>
      <c r="B4">
        <v>132057947</v>
      </c>
    </row>
    <row r="5" spans="1:2" x14ac:dyDescent="0.25">
      <c r="A5" t="s">
        <v>5</v>
      </c>
      <c r="B5">
        <v>240957</v>
      </c>
    </row>
    <row r="6" spans="1:2" x14ac:dyDescent="0.25">
      <c r="A6" t="s">
        <v>6</v>
      </c>
      <c r="B6">
        <v>-43957358</v>
      </c>
    </row>
    <row r="7" spans="1:2" x14ac:dyDescent="0.25">
      <c r="A7" t="s">
        <v>7</v>
      </c>
      <c r="B7">
        <v>-12880049</v>
      </c>
    </row>
    <row r="8" spans="1:2" x14ac:dyDescent="0.25">
      <c r="A8" t="s">
        <v>8</v>
      </c>
      <c r="B8">
        <v>-29714</v>
      </c>
    </row>
    <row r="9" spans="1:2" x14ac:dyDescent="0.25">
      <c r="A9" t="s">
        <v>99</v>
      </c>
    </row>
    <row r="10" spans="1:2" x14ac:dyDescent="0.25">
      <c r="A10" t="s">
        <v>90</v>
      </c>
      <c r="B10">
        <v>75431783</v>
      </c>
    </row>
    <row r="11" spans="1:2" x14ac:dyDescent="0.25">
      <c r="A11" t="s">
        <v>10</v>
      </c>
      <c r="B11">
        <v>15261936</v>
      </c>
    </row>
    <row r="12" spans="1:2" x14ac:dyDescent="0.25">
      <c r="A12" t="s">
        <v>11</v>
      </c>
      <c r="B12">
        <v>-16922810</v>
      </c>
    </row>
    <row r="13" spans="1:2" x14ac:dyDescent="0.25">
      <c r="A13" t="s">
        <v>91</v>
      </c>
      <c r="B13">
        <v>-1660874</v>
      </c>
    </row>
    <row r="14" spans="1:2" x14ac:dyDescent="0.25">
      <c r="A14" t="s">
        <v>92</v>
      </c>
      <c r="B14">
        <v>73770909</v>
      </c>
    </row>
    <row r="15" spans="1:2" x14ac:dyDescent="0.25">
      <c r="A15" t="s">
        <v>93</v>
      </c>
      <c r="B15">
        <v>-34773050</v>
      </c>
    </row>
    <row r="16" spans="1:2" x14ac:dyDescent="0.25">
      <c r="A16" t="s">
        <v>94</v>
      </c>
      <c r="B16">
        <v>38997859</v>
      </c>
    </row>
    <row r="17" spans="1:2" x14ac:dyDescent="0.25">
      <c r="A17" t="s">
        <v>95</v>
      </c>
    </row>
    <row r="18" spans="1:2" x14ac:dyDescent="0.25">
      <c r="A18" t="s">
        <v>17</v>
      </c>
      <c r="B18">
        <v>38997859</v>
      </c>
    </row>
    <row r="19" spans="1:2" x14ac:dyDescent="0.25">
      <c r="A19" t="s">
        <v>96</v>
      </c>
    </row>
    <row r="20" spans="1:2" x14ac:dyDescent="0.25">
      <c r="A20" t="s">
        <v>97</v>
      </c>
      <c r="B20">
        <v>49</v>
      </c>
    </row>
    <row r="21" spans="1:2" x14ac:dyDescent="0.25">
      <c r="A21" t="s">
        <v>98</v>
      </c>
      <c r="B21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40B1-6A18-44FF-A9C2-18CD58476977}">
  <dimension ref="A1:F14"/>
  <sheetViews>
    <sheetView showGridLines="0" zoomScale="90" zoomScaleNormal="90" workbookViewId="0">
      <selection activeCell="G10" sqref="G10"/>
    </sheetView>
  </sheetViews>
  <sheetFormatPr defaultRowHeight="15" x14ac:dyDescent="0.25"/>
  <cols>
    <col min="1" max="1" width="32" bestFit="1" customWidth="1"/>
    <col min="2" max="2" width="17.85546875" style="38" bestFit="1" customWidth="1"/>
    <col min="3" max="3" width="22.28515625" style="38" bestFit="1" customWidth="1"/>
    <col min="4" max="4" width="21.7109375" style="38" bestFit="1" customWidth="1"/>
    <col min="6" max="6" width="13.85546875" bestFit="1" customWidth="1"/>
    <col min="9" max="9" width="17.85546875" bestFit="1" customWidth="1"/>
  </cols>
  <sheetData>
    <row r="1" spans="1:6" x14ac:dyDescent="0.25">
      <c r="A1" s="24" t="s">
        <v>86</v>
      </c>
      <c r="B1" s="50" t="s">
        <v>79</v>
      </c>
      <c r="C1" s="50" t="s">
        <v>80</v>
      </c>
      <c r="D1" s="51" t="s">
        <v>81</v>
      </c>
    </row>
    <row r="2" spans="1:6" x14ac:dyDescent="0.25">
      <c r="A2" s="27" t="s">
        <v>82</v>
      </c>
      <c r="B2" s="52" t="s">
        <v>83</v>
      </c>
      <c r="C2" s="52" t="s">
        <v>84</v>
      </c>
      <c r="D2" s="53" t="s">
        <v>85</v>
      </c>
    </row>
    <row r="3" spans="1:6" x14ac:dyDescent="0.25">
      <c r="A3" s="54" t="s">
        <v>2</v>
      </c>
      <c r="B3" s="55">
        <f>326126755/1000000</f>
        <v>326.126755</v>
      </c>
      <c r="C3" s="55">
        <f>'Historical Variance Analysis'!B2/1000000/4*3*(1+'Assumption and Drivers'!$B$12)</f>
        <v>1068.8791766849999</v>
      </c>
      <c r="D3" s="56">
        <f>B3+C3</f>
        <v>1395.005931685</v>
      </c>
    </row>
    <row r="4" spans="1:6" x14ac:dyDescent="0.25">
      <c r="A4" s="54" t="s">
        <v>87</v>
      </c>
      <c r="B4" s="55">
        <f>-194068808/1000000</f>
        <v>-194.06880799999999</v>
      </c>
      <c r="C4" s="55">
        <f>C5 - C3</f>
        <v>-673.39388131154999</v>
      </c>
      <c r="D4" s="56">
        <f t="shared" ref="D4:D11" si="0">B4+C4</f>
        <v>-867.46268931154998</v>
      </c>
    </row>
    <row r="5" spans="1:6" x14ac:dyDescent="0.25">
      <c r="A5" s="54" t="s">
        <v>88</v>
      </c>
      <c r="B5" s="55">
        <f>132057947/1000000</f>
        <v>132.05794700000001</v>
      </c>
      <c r="C5" s="55">
        <f>C3 * 'Assumption and Drivers'!$B$13</f>
        <v>395.48529537344996</v>
      </c>
      <c r="D5" s="56">
        <f>B5 + C5</f>
        <v>527.54324237344997</v>
      </c>
    </row>
    <row r="6" spans="1:6" x14ac:dyDescent="0.25">
      <c r="A6" s="54" t="s">
        <v>89</v>
      </c>
      <c r="B6" s="55">
        <f>-56626164/1000000</f>
        <v>-56.626164000000003</v>
      </c>
      <c r="C6" s="55">
        <f xml:space="preserve"> -C3 * ('Assumption and Drivers'!$B$14 + 'Assumption and Drivers'!$B$15)</f>
        <v>-171.02066826960001</v>
      </c>
      <c r="D6" s="56">
        <f t="shared" si="0"/>
        <v>-227.6468322696</v>
      </c>
    </row>
    <row r="7" spans="1:6" x14ac:dyDescent="0.25">
      <c r="A7" s="54" t="s">
        <v>90</v>
      </c>
      <c r="B7" s="55">
        <f>75431783/1000000</f>
        <v>75.431782999999996</v>
      </c>
      <c r="C7" s="55">
        <f>SUM(C5:C6)</f>
        <v>224.46462710384995</v>
      </c>
      <c r="D7" s="56">
        <f t="shared" si="0"/>
        <v>299.89641010384992</v>
      </c>
      <c r="F7" s="38"/>
    </row>
    <row r="8" spans="1:6" x14ac:dyDescent="0.25">
      <c r="A8" s="54" t="s">
        <v>91</v>
      </c>
      <c r="B8" s="55">
        <f>-1660874/1000000</f>
        <v>-1.660874</v>
      </c>
      <c r="C8" s="55">
        <f>D8 - B8</f>
        <v>-58.339126</v>
      </c>
      <c r="D8" s="56">
        <f>'Assumption and Drivers'!$B$16</f>
        <v>-60</v>
      </c>
    </row>
    <row r="9" spans="1:6" x14ac:dyDescent="0.25">
      <c r="A9" s="54" t="s">
        <v>92</v>
      </c>
      <c r="B9" s="55">
        <f>73770909/1000000</f>
        <v>73.770909000000003</v>
      </c>
      <c r="C9" s="55">
        <f>C7+C8</f>
        <v>166.12550110384996</v>
      </c>
      <c r="D9" s="56">
        <f t="shared" si="0"/>
        <v>239.89641010384997</v>
      </c>
    </row>
    <row r="10" spans="1:6" x14ac:dyDescent="0.25">
      <c r="A10" s="54" t="s">
        <v>93</v>
      </c>
      <c r="B10" s="55">
        <f>-34773050/1000000</f>
        <v>-34.773049999999998</v>
      </c>
      <c r="C10" s="55" cm="1">
        <f t="array" ref="C10" xml:space="preserve"> -_xlfn.IFS(C9&gt;0, C9 * 'Assumption and Drivers'!$B$17, C9&lt;=0, 0)</f>
        <v>-53.160160353231987</v>
      </c>
      <c r="D10" s="56">
        <f t="shared" si="0"/>
        <v>-87.933210353231985</v>
      </c>
    </row>
    <row r="11" spans="1:6" x14ac:dyDescent="0.25">
      <c r="A11" s="54" t="s">
        <v>94</v>
      </c>
      <c r="B11" s="55">
        <f>38997859/1000000</f>
        <v>38.997858999999998</v>
      </c>
      <c r="C11" s="55">
        <f>C9+C10</f>
        <v>112.96534075061797</v>
      </c>
      <c r="D11" s="56">
        <f t="shared" si="0"/>
        <v>151.96319975061797</v>
      </c>
    </row>
    <row r="12" spans="1:6" x14ac:dyDescent="0.25">
      <c r="A12" s="54" t="s">
        <v>109</v>
      </c>
      <c r="B12" s="57">
        <f>B5/B3</f>
        <v>0.4049282831762761</v>
      </c>
      <c r="C12" s="57">
        <f t="shared" ref="C12:D12" si="1">C5/C3</f>
        <v>0.37</v>
      </c>
      <c r="D12" s="46">
        <f t="shared" si="1"/>
        <v>0.37816559083461454</v>
      </c>
    </row>
    <row r="13" spans="1:6" x14ac:dyDescent="0.25">
      <c r="A13" s="54" t="s">
        <v>110</v>
      </c>
      <c r="B13" s="57">
        <f>B7/B3</f>
        <v>0.23129590517650106</v>
      </c>
      <c r="C13" s="57">
        <f t="shared" ref="C13:D13" si="2">C7/C3</f>
        <v>0.20999999999999996</v>
      </c>
      <c r="D13" s="46">
        <f t="shared" si="2"/>
        <v>0.21497859133947267</v>
      </c>
    </row>
    <row r="14" spans="1:6" x14ac:dyDescent="0.25">
      <c r="A14" s="41" t="s">
        <v>111</v>
      </c>
      <c r="B14" s="58">
        <f>B11/B3</f>
        <v>0.11957883982870401</v>
      </c>
      <c r="C14" s="58">
        <f t="shared" ref="C14:D14" si="3">C11/C3</f>
        <v>0.10568579051279338</v>
      </c>
      <c r="D14" s="47">
        <f t="shared" si="3"/>
        <v>0.10893373017207507</v>
      </c>
    </row>
  </sheetData>
  <pageMargins left="0.7" right="0.7" top="0.75" bottom="0.75" header="0.3" footer="0.3"/>
  <ignoredErrors>
    <ignoredError sqref="C10" formula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89B8-81CD-45B0-B525-473696AF5177}">
  <dimension ref="A1:E4"/>
  <sheetViews>
    <sheetView showGridLines="0" zoomScale="90" zoomScaleNormal="90" workbookViewId="0">
      <selection activeCell="G6" sqref="G6"/>
    </sheetView>
  </sheetViews>
  <sheetFormatPr defaultRowHeight="15" x14ac:dyDescent="0.25"/>
  <cols>
    <col min="1" max="1" width="27.140625" bestFit="1" customWidth="1"/>
    <col min="2" max="4" width="13.28515625" bestFit="1" customWidth="1"/>
    <col min="5" max="5" width="22.85546875" bestFit="1" customWidth="1"/>
  </cols>
  <sheetData>
    <row r="1" spans="1:5" x14ac:dyDescent="0.25">
      <c r="A1" t="s">
        <v>100</v>
      </c>
      <c r="B1" t="s">
        <v>101</v>
      </c>
      <c r="C1" t="s">
        <v>102</v>
      </c>
      <c r="D1" t="s">
        <v>103</v>
      </c>
      <c r="E1" s="42" t="s">
        <v>112</v>
      </c>
    </row>
    <row r="2" spans="1:5" x14ac:dyDescent="0.25">
      <c r="A2" t="s">
        <v>104</v>
      </c>
      <c r="B2" s="9">
        <v>547118754</v>
      </c>
      <c r="C2" s="9">
        <v>958814739</v>
      </c>
      <c r="D2" s="9">
        <v>1207773081</v>
      </c>
      <c r="E2" s="42">
        <f>'2026 Rolling Forecast '!D3*1000000</f>
        <v>1395005931.6849999</v>
      </c>
    </row>
    <row r="3" spans="1:5" x14ac:dyDescent="0.25">
      <c r="A3" t="s">
        <v>105</v>
      </c>
      <c r="B3" s="9">
        <f>_xlfn.XLOOKUP(A3, Append1!A:A, Append1!B:B,0)</f>
        <v>-227813025</v>
      </c>
      <c r="C3" s="9">
        <v>-389464811</v>
      </c>
      <c r="D3" s="9">
        <v>-58535900</v>
      </c>
      <c r="E3" s="43">
        <f>'2026 Rolling Forecast '!D8*1000000</f>
        <v>-60000000</v>
      </c>
    </row>
    <row r="4" spans="1:5" x14ac:dyDescent="0.25">
      <c r="A4" t="s">
        <v>94</v>
      </c>
      <c r="B4" s="39">
        <v>-79473781</v>
      </c>
      <c r="C4" s="40">
        <v>-164595022</v>
      </c>
      <c r="D4" s="40">
        <v>104966001</v>
      </c>
      <c r="E4" s="44">
        <f>'2026 Rolling Forecast '!D11*1000000</f>
        <v>151963199.75061798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F26673-098F-438C-90D4-55BE7C38C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Append1</vt:lpstr>
      <vt:lpstr>Table034 (Page 26) (2)</vt:lpstr>
      <vt:lpstr>Table033 (Page 26) (2)</vt:lpstr>
      <vt:lpstr>Historical Variance Analysis</vt:lpstr>
      <vt:lpstr>Assumption and Drivers</vt:lpstr>
      <vt:lpstr>Table017</vt:lpstr>
      <vt:lpstr>2026 Rolling Forecast </vt:lpstr>
      <vt:lpstr>Scenario Analysis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Godswill Oghi</dc:creator>
  <cp:keywords/>
  <dc:description/>
  <cp:lastModifiedBy>Godswill Oghi</cp:lastModifiedBy>
  <cp:revision/>
  <dcterms:created xsi:type="dcterms:W3CDTF">2026-06-14T13:28:32Z</dcterms:created>
  <dcterms:modified xsi:type="dcterms:W3CDTF">2026-06-17T19:27:29Z</dcterms:modified>
  <cp:category/>
  <cp:contentStatus/>
</cp:coreProperties>
</file>